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Questa_cartella_di_lavoro" hidePivotFieldList="1" defaultThemeVersion="202300"/>
  <mc:AlternateContent xmlns:mc="http://schemas.openxmlformats.org/markup-compatibility/2006">
    <mc:Choice Requires="x15">
      <x15ac:absPath xmlns:x15ac="http://schemas.microsoft.com/office/spreadsheetml/2010/11/ac" url="G:\Il mio Drive\Digitalizzazione-NBFC\MZUR_ornithology_calibrated\Nuovo_Sito\Web_new_map\"/>
    </mc:Choice>
  </mc:AlternateContent>
  <xr:revisionPtr revIDLastSave="0" documentId="13_ncr:1_{AF2A52BF-5D00-4A22-8962-6AA587ACF1EE}" xr6:coauthVersionLast="47" xr6:coauthVersionMax="47" xr10:uidLastSave="{00000000-0000-0000-0000-000000000000}"/>
  <bookViews>
    <workbookView xWindow="1785" yWindow="2070" windowWidth="27015" windowHeight="14130" xr2:uid="{FBD5290F-55D4-485E-AF65-BDA838D20EC9}"/>
  </bookViews>
  <sheets>
    <sheet name="Dati" sheetId="1" r:id="rId1"/>
    <sheet name="Conteggi" sheetId="2" r:id="rId2"/>
    <sheet name="Distribuzione regioni" sheetId="3" r:id="rId3"/>
    <sheet name="Distribuzione paesi" sheetId="4" r:id="rId4"/>
    <sheet name="Foglio1" sheetId="9" r:id="rId5"/>
    <sheet name="Distribuzione anni" sheetId="6" r:id="rId6"/>
    <sheet name="Specie" sheetId="7" r:id="rId7"/>
    <sheet name="Specie dubbie DATI" sheetId="8" r:id="rId8"/>
  </sheets>
  <definedNames>
    <definedName name="_xlnm._FilterDatabase" localSheetId="0" hidden="1">Dati!#REF!</definedName>
    <definedName name="Intestazioni">Dati!$A$1:$BE$1</definedName>
    <definedName name="_xlnm.Print_Titles" localSheetId="0">Dati!$1:$1</definedName>
  </definedNames>
  <calcPr calcId="191029"/>
  <pivotCaches>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a="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B1" i="9" a="1"/>
  <c r="B1" i="9" s="1"/>
  <c r="C108" i="6"/>
  <c r="C107" i="6"/>
  <c r="C97" i="6"/>
  <c r="C114" i="6"/>
  <c r="C113" i="6"/>
  <c r="C112" i="6"/>
  <c r="C111" i="6"/>
  <c r="C110" i="6"/>
  <c r="C109" i="6"/>
  <c r="C106" i="6"/>
  <c r="C105" i="6"/>
  <c r="C104" i="6"/>
  <c r="C103" i="6"/>
  <c r="C102" i="6"/>
  <c r="C101" i="6"/>
  <c r="C100" i="6"/>
  <c r="C99" i="6"/>
  <c r="C98"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B116" i="6"/>
  <c r="AC124" i="2"/>
  <c r="O123" i="2"/>
  <c r="Z56" i="2"/>
  <c r="W25" i="2"/>
  <c r="B2" i="2" a="1"/>
  <c r="G205" i="1"/>
  <c r="H205" i="1"/>
  <c r="D205" i="1"/>
  <c r="E205" i="1"/>
  <c r="AB55" i="1"/>
  <c r="AH46" i="1"/>
  <c r="AB113" i="1"/>
  <c r="I203" i="1"/>
  <c r="F203" i="1"/>
  <c r="G98" i="1"/>
  <c r="H98" i="1"/>
  <c r="D98" i="1"/>
  <c r="E98" i="1"/>
  <c r="AH236" i="1"/>
  <c r="AB236" i="1"/>
  <c r="I105" i="1"/>
  <c r="F105" i="1"/>
  <c r="F80" i="1"/>
  <c r="F79" i="1"/>
  <c r="AH49" i="1"/>
  <c r="AH40" i="1"/>
  <c r="I268" i="1"/>
  <c r="H268" i="1"/>
  <c r="G268" i="1"/>
  <c r="F268" i="1"/>
  <c r="E268" i="1"/>
  <c r="D268" i="1"/>
  <c r="H27" i="1"/>
  <c r="G27" i="1"/>
  <c r="F27" i="1"/>
  <c r="E27" i="1"/>
  <c r="D27" i="1"/>
  <c r="AB24" i="1"/>
  <c r="AB7" i="1"/>
  <c r="AB2" i="1"/>
  <c r="AB3" i="1"/>
  <c r="AB4" i="1"/>
  <c r="AB5" i="1"/>
  <c r="AB6" i="1"/>
  <c r="AB8" i="1"/>
  <c r="AB9" i="1"/>
  <c r="AB10" i="1"/>
  <c r="AB11" i="1"/>
  <c r="AB12" i="1"/>
  <c r="AB13" i="1"/>
  <c r="AB14" i="1"/>
  <c r="AB15" i="1"/>
  <c r="AB16" i="1"/>
  <c r="AB17" i="1"/>
  <c r="AB18" i="1"/>
  <c r="AB19" i="1"/>
  <c r="AB20" i="1"/>
  <c r="AB21" i="1"/>
  <c r="AB22" i="1"/>
  <c r="AB23"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B2" i="2" l="1"/>
  <c r="D2" i="2" s="1"/>
  <c r="D3" i="2"/>
  <c r="D4" i="2"/>
  <c r="D8" i="2"/>
  <c r="D12" i="2"/>
  <c r="D16" i="2"/>
  <c r="D20" i="2"/>
  <c r="D24" i="2"/>
  <c r="D5" i="2"/>
  <c r="D9" i="2"/>
  <c r="D13" i="2"/>
  <c r="D17" i="2"/>
  <c r="D21" i="2"/>
  <c r="R2" i="2"/>
  <c r="T2" i="2" s="1"/>
  <c r="T3" i="2"/>
  <c r="T7" i="2"/>
  <c r="T11" i="2"/>
  <c r="T15" i="2"/>
  <c r="T19" i="2"/>
  <c r="T23" i="2"/>
  <c r="T27" i="2"/>
  <c r="T31" i="2"/>
  <c r="T35" i="2"/>
  <c r="T39" i="2"/>
  <c r="T43" i="2"/>
  <c r="T47" i="2"/>
  <c r="T51" i="2"/>
  <c r="T55" i="2"/>
  <c r="T59" i="2"/>
  <c r="T63" i="2"/>
  <c r="T67" i="2"/>
  <c r="T71" i="2"/>
  <c r="T75" i="2"/>
  <c r="T79" i="2"/>
  <c r="T83" i="2"/>
  <c r="T87" i="2"/>
  <c r="T91" i="2"/>
  <c r="T95" i="2"/>
  <c r="T99" i="2"/>
  <c r="T103" i="2"/>
  <c r="T107" i="2"/>
  <c r="T111" i="2"/>
  <c r="T115" i="2"/>
  <c r="T119" i="2"/>
  <c r="T123" i="2"/>
  <c r="T127" i="2"/>
  <c r="T131" i="2"/>
  <c r="T135" i="2"/>
  <c r="T139" i="2"/>
  <c r="T149" i="2"/>
  <c r="T145" i="2"/>
  <c r="T141" i="2"/>
  <c r="T136" i="2"/>
  <c r="T130" i="2"/>
  <c r="T125" i="2"/>
  <c r="T120" i="2"/>
  <c r="T114" i="2"/>
  <c r="T109" i="2"/>
  <c r="T104" i="2"/>
  <c r="T98" i="2"/>
  <c r="T93" i="2"/>
  <c r="T88" i="2"/>
  <c r="T82" i="2"/>
  <c r="T77" i="2"/>
  <c r="T72" i="2"/>
  <c r="T66" i="2"/>
  <c r="T61" i="2"/>
  <c r="T56" i="2"/>
  <c r="T50" i="2"/>
  <c r="T45" i="2"/>
  <c r="T40" i="2"/>
  <c r="T34" i="2"/>
  <c r="T29" i="2"/>
  <c r="T24" i="2"/>
  <c r="T18" i="2"/>
  <c r="T13" i="2"/>
  <c r="T8" i="2"/>
  <c r="D19" i="2"/>
  <c r="D11" i="2"/>
  <c r="T148" i="2"/>
  <c r="T144" i="2"/>
  <c r="T140" i="2"/>
  <c r="T134" i="2"/>
  <c r="T129" i="2"/>
  <c r="T124" i="2"/>
  <c r="T118" i="2"/>
  <c r="T113" i="2"/>
  <c r="T108" i="2"/>
  <c r="T102" i="2"/>
  <c r="T97" i="2"/>
  <c r="T92" i="2"/>
  <c r="T86" i="2"/>
  <c r="T81" i="2"/>
  <c r="T76" i="2"/>
  <c r="T70" i="2"/>
  <c r="T65" i="2"/>
  <c r="T60" i="2"/>
  <c r="T54" i="2"/>
  <c r="T49" i="2"/>
  <c r="T44" i="2"/>
  <c r="T38" i="2"/>
  <c r="T33" i="2"/>
  <c r="T28" i="2"/>
  <c r="T22" i="2"/>
  <c r="T17" i="2"/>
  <c r="T12" i="2"/>
  <c r="T6" i="2"/>
  <c r="D18" i="2"/>
  <c r="D10" i="2"/>
  <c r="T151" i="2"/>
  <c r="T147" i="2"/>
  <c r="T143" i="2"/>
  <c r="T138" i="2"/>
  <c r="T133" i="2"/>
  <c r="T128" i="2"/>
  <c r="T122" i="2"/>
  <c r="T117" i="2"/>
  <c r="T112" i="2"/>
  <c r="T106" i="2"/>
  <c r="T101" i="2"/>
  <c r="T96" i="2"/>
  <c r="T90" i="2"/>
  <c r="T85" i="2"/>
  <c r="T80" i="2"/>
  <c r="T74" i="2"/>
  <c r="T69" i="2"/>
  <c r="T64" i="2"/>
  <c r="T58" i="2"/>
  <c r="T53" i="2"/>
  <c r="T48" i="2"/>
  <c r="T42" i="2"/>
  <c r="T37" i="2"/>
  <c r="T32" i="2"/>
  <c r="T26" i="2"/>
  <c r="T21" i="2"/>
  <c r="T16" i="2"/>
  <c r="T10" i="2"/>
  <c r="T5" i="2"/>
  <c r="D23" i="2"/>
  <c r="D15" i="2"/>
  <c r="D7" i="2"/>
  <c r="T150" i="2"/>
  <c r="T146" i="2"/>
  <c r="T142" i="2"/>
  <c r="T137" i="2"/>
  <c r="T132" i="2"/>
  <c r="T126" i="2"/>
  <c r="T121" i="2"/>
  <c r="T116" i="2"/>
  <c r="T110" i="2"/>
  <c r="T105" i="2"/>
  <c r="T100" i="2"/>
  <c r="T94" i="2"/>
  <c r="T89" i="2"/>
  <c r="T84" i="2"/>
  <c r="T78" i="2"/>
  <c r="T73" i="2"/>
  <c r="T68" i="2"/>
  <c r="T62" i="2"/>
  <c r="T57" i="2"/>
  <c r="T52" i="2"/>
  <c r="T46" i="2"/>
  <c r="T41" i="2"/>
  <c r="T36" i="2"/>
  <c r="T30" i="2"/>
  <c r="T25" i="2"/>
  <c r="T20" i="2"/>
  <c r="T14" i="2"/>
  <c r="T9" i="2"/>
  <c r="T4" i="2"/>
  <c r="D22" i="2"/>
  <c r="D14" i="2"/>
  <c r="D6" i="2"/>
  <c r="A1" i="9" a="1"/>
  <c r="A1" i="9" s="1"/>
  <c r="A3" i="9"/>
  <c r="C116" i="6"/>
  <c r="T153" i="2" l="1"/>
  <c r="D26" i="2"/>
  <c r="E24" i="2"/>
  <c r="J55" i="2"/>
  <c r="E67" i="1"/>
  <c r="D67" i="1"/>
  <c r="E65" i="1"/>
  <c r="D65" i="1"/>
  <c r="F2" i="1"/>
  <c r="F3" i="1"/>
  <c r="F4" i="1"/>
  <c r="F5" i="1"/>
  <c r="F6" i="1"/>
  <c r="F7" i="1"/>
  <c r="F8" i="1"/>
  <c r="F9" i="1"/>
  <c r="F10" i="1"/>
  <c r="F11" i="1"/>
  <c r="F12" i="1"/>
  <c r="F13" i="1"/>
  <c r="F14" i="1"/>
  <c r="F15" i="1"/>
  <c r="F16" i="1"/>
  <c r="F17" i="1"/>
  <c r="F18" i="1"/>
  <c r="F19" i="1"/>
  <c r="F20" i="1"/>
  <c r="F21" i="1"/>
  <c r="F22" i="1"/>
  <c r="F23" i="1"/>
  <c r="F24" i="1"/>
  <c r="F25" i="1"/>
  <c r="F26"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6" i="1"/>
  <c r="F68" i="1"/>
  <c r="F69" i="1"/>
  <c r="F70" i="1"/>
  <c r="F71" i="1"/>
  <c r="F72" i="1"/>
  <c r="F73" i="1"/>
  <c r="F74" i="1"/>
  <c r="F75" i="1"/>
  <c r="F76" i="1"/>
  <c r="F77" i="1"/>
  <c r="F78" i="1"/>
  <c r="F81" i="1"/>
  <c r="F82" i="1"/>
  <c r="F83" i="1"/>
  <c r="F85" i="1"/>
  <c r="F86" i="1"/>
  <c r="F87" i="1"/>
  <c r="F88" i="1"/>
  <c r="F89" i="1"/>
  <c r="F90" i="1"/>
  <c r="F91" i="1"/>
  <c r="F92" i="1"/>
  <c r="F93" i="1"/>
  <c r="F94" i="1"/>
  <c r="F95" i="1"/>
  <c r="F96" i="1"/>
  <c r="F97" i="1"/>
  <c r="F98" i="1"/>
  <c r="F99" i="1"/>
  <c r="F100" i="1"/>
  <c r="F101" i="1"/>
  <c r="F102" i="1"/>
  <c r="F103" i="1"/>
  <c r="F104"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5" i="1"/>
  <c r="F146" i="1"/>
  <c r="F147" i="1"/>
  <c r="F148" i="1"/>
  <c r="F150" i="1"/>
  <c r="F151" i="1"/>
  <c r="F152" i="1"/>
  <c r="F153" i="1"/>
  <c r="F154" i="1"/>
  <c r="F155" i="1"/>
  <c r="F156" i="1"/>
  <c r="F157" i="1"/>
  <c r="F158" i="1"/>
  <c r="F159" i="1"/>
  <c r="F160" i="1"/>
  <c r="F161" i="1"/>
  <c r="F162" i="1"/>
  <c r="F163" i="1"/>
  <c r="F164" i="1"/>
  <c r="F165" i="1"/>
  <c r="F166" i="1"/>
  <c r="F167" i="1"/>
  <c r="F168"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9" i="1"/>
  <c r="F270" i="1"/>
  <c r="F271" i="1"/>
  <c r="F272" i="1"/>
  <c r="F273" i="1"/>
  <c r="F274" i="1"/>
  <c r="F275" i="1"/>
  <c r="F276" i="1"/>
  <c r="F277" i="1"/>
  <c r="F278" i="1"/>
  <c r="F279" i="1"/>
  <c r="F280" i="1"/>
  <c r="F281" i="1"/>
  <c r="F282" i="1"/>
  <c r="F283" i="1"/>
  <c r="F284" i="1"/>
  <c r="F285" i="1"/>
  <c r="F286" i="1"/>
  <c r="F287" i="1"/>
  <c r="F289" i="1"/>
  <c r="F290" i="1"/>
  <c r="F291" i="1"/>
  <c r="F292" i="1"/>
  <c r="F293" i="1"/>
  <c r="F294" i="1"/>
  <c r="F295" i="1"/>
  <c r="F296" i="1"/>
  <c r="F297" i="1"/>
  <c r="F298" i="1"/>
  <c r="B19" i="3"/>
  <c r="L2" i="2" a="1"/>
  <c r="G2" i="2" a="1"/>
  <c r="AH298" i="1"/>
  <c r="L298" i="1"/>
  <c r="K298" i="1"/>
  <c r="I298" i="1"/>
  <c r="H298" i="1"/>
  <c r="G298" i="1"/>
  <c r="E298" i="1"/>
  <c r="D298" i="1"/>
  <c r="AH297" i="1"/>
  <c r="L297" i="1"/>
  <c r="K297" i="1"/>
  <c r="I297" i="1"/>
  <c r="H297" i="1"/>
  <c r="G297" i="1"/>
  <c r="E297" i="1"/>
  <c r="D297" i="1"/>
  <c r="AH296" i="1"/>
  <c r="L296" i="1"/>
  <c r="K296" i="1"/>
  <c r="I296" i="1"/>
  <c r="H296" i="1"/>
  <c r="G296" i="1"/>
  <c r="E296" i="1"/>
  <c r="D296" i="1"/>
  <c r="AH295" i="1"/>
  <c r="L295" i="1"/>
  <c r="K295" i="1"/>
  <c r="I295" i="1"/>
  <c r="H295" i="1"/>
  <c r="G295" i="1"/>
  <c r="E295" i="1"/>
  <c r="D295" i="1"/>
  <c r="AH294" i="1"/>
  <c r="L294" i="1"/>
  <c r="K294" i="1"/>
  <c r="I294" i="1"/>
  <c r="H294" i="1"/>
  <c r="G294" i="1"/>
  <c r="E294" i="1"/>
  <c r="D294" i="1"/>
  <c r="AH293" i="1"/>
  <c r="L293" i="1"/>
  <c r="K293" i="1"/>
  <c r="I293" i="1"/>
  <c r="H293" i="1"/>
  <c r="G293" i="1"/>
  <c r="E293" i="1"/>
  <c r="D293" i="1"/>
  <c r="AH292" i="1"/>
  <c r="L292" i="1"/>
  <c r="K292" i="1"/>
  <c r="I292" i="1"/>
  <c r="AH291" i="1"/>
  <c r="L291" i="1"/>
  <c r="K291" i="1"/>
  <c r="I291" i="1"/>
  <c r="H291" i="1"/>
  <c r="G291" i="1"/>
  <c r="E291" i="1"/>
  <c r="D291" i="1"/>
  <c r="AH290" i="1"/>
  <c r="L290" i="1"/>
  <c r="K290" i="1"/>
  <c r="I290" i="1"/>
  <c r="H290" i="1"/>
  <c r="G290" i="1"/>
  <c r="E290" i="1"/>
  <c r="D290" i="1"/>
  <c r="AH289" i="1"/>
  <c r="L289" i="1"/>
  <c r="K289" i="1"/>
  <c r="I289" i="1"/>
  <c r="H289" i="1"/>
  <c r="G289" i="1"/>
  <c r="E289" i="1"/>
  <c r="D289" i="1"/>
  <c r="AH288" i="1"/>
  <c r="L288" i="1"/>
  <c r="K288" i="1"/>
  <c r="H288" i="1"/>
  <c r="G288" i="1"/>
  <c r="E288" i="1"/>
  <c r="D288" i="1"/>
  <c r="AH287" i="1"/>
  <c r="L287" i="1"/>
  <c r="K287" i="1"/>
  <c r="I287" i="1"/>
  <c r="H287" i="1"/>
  <c r="G287" i="1"/>
  <c r="E287" i="1"/>
  <c r="D287" i="1"/>
  <c r="AH286" i="1"/>
  <c r="L286" i="1"/>
  <c r="K286" i="1"/>
  <c r="I286" i="1"/>
  <c r="H286" i="1"/>
  <c r="G286" i="1"/>
  <c r="E286" i="1"/>
  <c r="D286" i="1"/>
  <c r="AH285" i="1"/>
  <c r="L285" i="1"/>
  <c r="K285" i="1"/>
  <c r="I285" i="1"/>
  <c r="H285" i="1"/>
  <c r="G285" i="1"/>
  <c r="E285" i="1"/>
  <c r="D285" i="1"/>
  <c r="AH284" i="1"/>
  <c r="L284" i="1"/>
  <c r="K284" i="1"/>
  <c r="I284" i="1"/>
  <c r="H284" i="1"/>
  <c r="G284" i="1"/>
  <c r="E284" i="1"/>
  <c r="D284" i="1"/>
  <c r="AH283" i="1"/>
  <c r="L283" i="1"/>
  <c r="K283" i="1"/>
  <c r="I283" i="1"/>
  <c r="H283" i="1"/>
  <c r="G283" i="1"/>
  <c r="E283" i="1"/>
  <c r="D283" i="1"/>
  <c r="AH282" i="1"/>
  <c r="L282" i="1"/>
  <c r="K282" i="1"/>
  <c r="I282" i="1"/>
  <c r="H282" i="1"/>
  <c r="G282" i="1"/>
  <c r="E282" i="1"/>
  <c r="D282" i="1"/>
  <c r="AH281" i="1"/>
  <c r="L281" i="1"/>
  <c r="K281" i="1"/>
  <c r="I281" i="1"/>
  <c r="H281" i="1"/>
  <c r="G281" i="1"/>
  <c r="E281" i="1"/>
  <c r="D281" i="1"/>
  <c r="AH280" i="1"/>
  <c r="L280" i="1"/>
  <c r="K280" i="1"/>
  <c r="I280" i="1"/>
  <c r="H280" i="1"/>
  <c r="G280" i="1"/>
  <c r="E280" i="1"/>
  <c r="D280" i="1"/>
  <c r="AH279" i="1"/>
  <c r="L279" i="1"/>
  <c r="K279" i="1"/>
  <c r="I279" i="1"/>
  <c r="H279" i="1"/>
  <c r="G279" i="1"/>
  <c r="E279" i="1"/>
  <c r="D279" i="1"/>
  <c r="AH278" i="1"/>
  <c r="L278" i="1"/>
  <c r="K278" i="1"/>
  <c r="I278" i="1"/>
  <c r="H278" i="1"/>
  <c r="G278" i="1"/>
  <c r="E278" i="1"/>
  <c r="D278" i="1"/>
  <c r="AH277" i="1"/>
  <c r="L277" i="1"/>
  <c r="K277" i="1"/>
  <c r="I277" i="1"/>
  <c r="H277" i="1"/>
  <c r="G277" i="1"/>
  <c r="E277" i="1"/>
  <c r="D277" i="1"/>
  <c r="AH276" i="1"/>
  <c r="L276" i="1"/>
  <c r="K276" i="1"/>
  <c r="I276" i="1"/>
  <c r="AH275" i="1"/>
  <c r="L275" i="1"/>
  <c r="K275" i="1"/>
  <c r="I275" i="1"/>
  <c r="H275" i="1"/>
  <c r="G275" i="1"/>
  <c r="E275" i="1"/>
  <c r="D275" i="1"/>
  <c r="AH274" i="1"/>
  <c r="L274" i="1"/>
  <c r="K274" i="1"/>
  <c r="I274" i="1"/>
  <c r="H274" i="1"/>
  <c r="G274" i="1"/>
  <c r="E274" i="1"/>
  <c r="D274" i="1"/>
  <c r="AH273" i="1"/>
  <c r="L273" i="1"/>
  <c r="K273" i="1"/>
  <c r="I273" i="1"/>
  <c r="H273" i="1"/>
  <c r="G273" i="1"/>
  <c r="E273" i="1"/>
  <c r="D273" i="1"/>
  <c r="AH272" i="1"/>
  <c r="L272" i="1"/>
  <c r="K272" i="1"/>
  <c r="I272" i="1"/>
  <c r="H272" i="1"/>
  <c r="G272" i="1"/>
  <c r="E272" i="1"/>
  <c r="D272" i="1"/>
  <c r="AH271" i="1"/>
  <c r="L271" i="1"/>
  <c r="K271" i="1"/>
  <c r="I271" i="1"/>
  <c r="H271" i="1"/>
  <c r="G271" i="1"/>
  <c r="E271" i="1"/>
  <c r="D271" i="1"/>
  <c r="AH270" i="1"/>
  <c r="L270" i="1"/>
  <c r="K270" i="1"/>
  <c r="I270" i="1"/>
  <c r="H270" i="1"/>
  <c r="G270" i="1"/>
  <c r="E270" i="1"/>
  <c r="D270" i="1"/>
  <c r="AH269" i="1"/>
  <c r="L269" i="1"/>
  <c r="K269" i="1"/>
  <c r="I269" i="1"/>
  <c r="H269" i="1"/>
  <c r="G269" i="1"/>
  <c r="E269" i="1"/>
  <c r="D269" i="1"/>
  <c r="AH268" i="1"/>
  <c r="L268" i="1"/>
  <c r="K268" i="1"/>
  <c r="AH267" i="1"/>
  <c r="L267" i="1"/>
  <c r="K267" i="1"/>
  <c r="I267" i="1"/>
  <c r="AH266" i="1"/>
  <c r="L266" i="1"/>
  <c r="K266" i="1"/>
  <c r="I266" i="1"/>
  <c r="H266" i="1"/>
  <c r="G266" i="1"/>
  <c r="E266" i="1"/>
  <c r="D266" i="1"/>
  <c r="AH265" i="1"/>
  <c r="L265" i="1"/>
  <c r="K265" i="1"/>
  <c r="I265" i="1"/>
  <c r="AH264" i="1"/>
  <c r="L264" i="1"/>
  <c r="K264" i="1"/>
  <c r="I264" i="1"/>
  <c r="AH263" i="1"/>
  <c r="L263" i="1"/>
  <c r="K263" i="1"/>
  <c r="I263" i="1"/>
  <c r="AH262" i="1"/>
  <c r="L262" i="1"/>
  <c r="K262" i="1"/>
  <c r="I262" i="1"/>
  <c r="H262" i="1"/>
  <c r="G262" i="1"/>
  <c r="E262" i="1"/>
  <c r="D262" i="1"/>
  <c r="AH261" i="1"/>
  <c r="L261" i="1"/>
  <c r="K261" i="1"/>
  <c r="I261" i="1"/>
  <c r="AH260" i="1"/>
  <c r="L260" i="1"/>
  <c r="K260" i="1"/>
  <c r="I260" i="1"/>
  <c r="AH259" i="1"/>
  <c r="L259" i="1"/>
  <c r="K259" i="1"/>
  <c r="I259" i="1"/>
  <c r="AH258" i="1"/>
  <c r="L258" i="1"/>
  <c r="K258" i="1"/>
  <c r="I258" i="1"/>
  <c r="AH257" i="1"/>
  <c r="L257" i="1"/>
  <c r="K257" i="1"/>
  <c r="I257" i="1"/>
  <c r="H257" i="1"/>
  <c r="G257" i="1"/>
  <c r="E257" i="1"/>
  <c r="D257" i="1"/>
  <c r="AH256" i="1"/>
  <c r="L256" i="1"/>
  <c r="K256" i="1"/>
  <c r="I256" i="1"/>
  <c r="H256" i="1"/>
  <c r="G256" i="1"/>
  <c r="E256" i="1"/>
  <c r="D256" i="1"/>
  <c r="AH255" i="1"/>
  <c r="L255" i="1"/>
  <c r="K255" i="1"/>
  <c r="I255" i="1"/>
  <c r="H255" i="1"/>
  <c r="G255" i="1"/>
  <c r="E255" i="1"/>
  <c r="D255" i="1"/>
  <c r="AH254" i="1"/>
  <c r="L254" i="1"/>
  <c r="K254" i="1"/>
  <c r="I254" i="1"/>
  <c r="H254" i="1"/>
  <c r="G254" i="1"/>
  <c r="E254" i="1"/>
  <c r="D254" i="1"/>
  <c r="AH253" i="1"/>
  <c r="L253" i="1"/>
  <c r="K253" i="1"/>
  <c r="I253" i="1"/>
  <c r="H253" i="1"/>
  <c r="G253" i="1"/>
  <c r="E253" i="1"/>
  <c r="D253" i="1"/>
  <c r="AH252" i="1"/>
  <c r="L252" i="1"/>
  <c r="K252" i="1"/>
  <c r="I252" i="1"/>
  <c r="H252" i="1"/>
  <c r="G252" i="1"/>
  <c r="E252" i="1"/>
  <c r="D252" i="1"/>
  <c r="AH251" i="1"/>
  <c r="L251" i="1"/>
  <c r="K251" i="1"/>
  <c r="I251" i="1"/>
  <c r="H251" i="1"/>
  <c r="G251" i="1"/>
  <c r="E251" i="1"/>
  <c r="D251" i="1"/>
  <c r="AH250" i="1"/>
  <c r="L250" i="1"/>
  <c r="K250" i="1"/>
  <c r="I250" i="1"/>
  <c r="H250" i="1"/>
  <c r="G250" i="1"/>
  <c r="E250" i="1"/>
  <c r="D250" i="1"/>
  <c r="AH249" i="1"/>
  <c r="L249" i="1"/>
  <c r="K249" i="1"/>
  <c r="I249" i="1"/>
  <c r="H249" i="1"/>
  <c r="G249" i="1"/>
  <c r="E249" i="1"/>
  <c r="D249" i="1"/>
  <c r="AH248" i="1"/>
  <c r="L248" i="1"/>
  <c r="K248" i="1"/>
  <c r="I248" i="1"/>
  <c r="H248" i="1"/>
  <c r="G248" i="1"/>
  <c r="E248" i="1"/>
  <c r="D248" i="1"/>
  <c r="AH247" i="1"/>
  <c r="L247" i="1"/>
  <c r="K247" i="1"/>
  <c r="I247" i="1"/>
  <c r="AH246" i="1"/>
  <c r="L246" i="1"/>
  <c r="K246" i="1"/>
  <c r="I246" i="1"/>
  <c r="AH245" i="1"/>
  <c r="L245" i="1"/>
  <c r="K245" i="1"/>
  <c r="I245" i="1"/>
  <c r="H245" i="1"/>
  <c r="G245" i="1"/>
  <c r="E245" i="1"/>
  <c r="D245" i="1"/>
  <c r="AH244" i="1"/>
  <c r="L244" i="1"/>
  <c r="K244" i="1"/>
  <c r="I244" i="1"/>
  <c r="H244" i="1"/>
  <c r="G244" i="1"/>
  <c r="E244" i="1"/>
  <c r="D244" i="1"/>
  <c r="AH243" i="1"/>
  <c r="L243" i="1"/>
  <c r="K243" i="1"/>
  <c r="I243" i="1"/>
  <c r="H243" i="1"/>
  <c r="G243" i="1"/>
  <c r="E243" i="1"/>
  <c r="D243" i="1"/>
  <c r="AH242" i="1"/>
  <c r="L242" i="1"/>
  <c r="K242" i="1"/>
  <c r="I242" i="1"/>
  <c r="H242" i="1"/>
  <c r="G242" i="1"/>
  <c r="E242" i="1"/>
  <c r="D242" i="1"/>
  <c r="AH241" i="1"/>
  <c r="L241" i="1"/>
  <c r="K241" i="1"/>
  <c r="I241" i="1"/>
  <c r="H241" i="1"/>
  <c r="G241" i="1"/>
  <c r="E241" i="1"/>
  <c r="D241" i="1"/>
  <c r="AH240" i="1"/>
  <c r="L240" i="1"/>
  <c r="K240" i="1"/>
  <c r="I240" i="1"/>
  <c r="H240" i="1"/>
  <c r="G240" i="1"/>
  <c r="E240" i="1"/>
  <c r="D240" i="1"/>
  <c r="AH239" i="1"/>
  <c r="L239" i="1"/>
  <c r="K239" i="1"/>
  <c r="I239" i="1"/>
  <c r="AH238" i="1"/>
  <c r="L238" i="1"/>
  <c r="K238" i="1"/>
  <c r="I238" i="1"/>
  <c r="H238" i="1"/>
  <c r="G238" i="1"/>
  <c r="E238" i="1"/>
  <c r="D238" i="1"/>
  <c r="AH237" i="1"/>
  <c r="L237" i="1"/>
  <c r="K237" i="1"/>
  <c r="I237" i="1"/>
  <c r="H237" i="1"/>
  <c r="G237" i="1"/>
  <c r="E237" i="1"/>
  <c r="D237" i="1"/>
  <c r="L236" i="1"/>
  <c r="K236" i="1"/>
  <c r="I236" i="1"/>
  <c r="AH235" i="1"/>
  <c r="L235" i="1"/>
  <c r="K235" i="1"/>
  <c r="I235" i="1"/>
  <c r="H235" i="1"/>
  <c r="G235" i="1"/>
  <c r="E235" i="1"/>
  <c r="D235" i="1"/>
  <c r="AH234" i="1"/>
  <c r="L234" i="1"/>
  <c r="K234" i="1"/>
  <c r="I234" i="1"/>
  <c r="H234" i="1"/>
  <c r="G234" i="1"/>
  <c r="E234" i="1"/>
  <c r="D234" i="1"/>
  <c r="AH233" i="1"/>
  <c r="L233" i="1"/>
  <c r="K233" i="1"/>
  <c r="I233" i="1"/>
  <c r="AH232" i="1"/>
  <c r="L232" i="1"/>
  <c r="K232" i="1"/>
  <c r="I232" i="1"/>
  <c r="H232" i="1"/>
  <c r="G232" i="1"/>
  <c r="E232" i="1"/>
  <c r="D232" i="1"/>
  <c r="AH231" i="1"/>
  <c r="L231" i="1"/>
  <c r="K231" i="1"/>
  <c r="I231" i="1"/>
  <c r="H231" i="1"/>
  <c r="G231" i="1"/>
  <c r="E231" i="1"/>
  <c r="D231" i="1"/>
  <c r="AH230" i="1"/>
  <c r="L230" i="1"/>
  <c r="K230" i="1"/>
  <c r="I230" i="1"/>
  <c r="H230" i="1"/>
  <c r="G230" i="1"/>
  <c r="E230" i="1"/>
  <c r="D230" i="1"/>
  <c r="AH229" i="1"/>
  <c r="L229" i="1"/>
  <c r="K229" i="1"/>
  <c r="I229" i="1"/>
  <c r="H229" i="1"/>
  <c r="G229" i="1"/>
  <c r="E229" i="1"/>
  <c r="D229" i="1"/>
  <c r="AH228" i="1"/>
  <c r="L228" i="1"/>
  <c r="K228" i="1"/>
  <c r="I228" i="1"/>
  <c r="H228" i="1"/>
  <c r="G228" i="1"/>
  <c r="E228" i="1"/>
  <c r="D228" i="1"/>
  <c r="AH227" i="1"/>
  <c r="L227" i="1"/>
  <c r="K227" i="1"/>
  <c r="I227" i="1"/>
  <c r="H227" i="1"/>
  <c r="G227" i="1"/>
  <c r="E227" i="1"/>
  <c r="D227" i="1"/>
  <c r="AH226" i="1"/>
  <c r="L226" i="1"/>
  <c r="K226" i="1"/>
  <c r="I226" i="1"/>
  <c r="AH225" i="1"/>
  <c r="L225" i="1"/>
  <c r="K225" i="1"/>
  <c r="I225" i="1"/>
  <c r="H225" i="1"/>
  <c r="G225" i="1"/>
  <c r="E225" i="1"/>
  <c r="D225" i="1"/>
  <c r="AH224" i="1"/>
  <c r="L224" i="1"/>
  <c r="K224" i="1"/>
  <c r="I224" i="1"/>
  <c r="AH223" i="1"/>
  <c r="L223" i="1"/>
  <c r="K223" i="1"/>
  <c r="I223" i="1"/>
  <c r="AH222" i="1"/>
  <c r="L222" i="1"/>
  <c r="K222" i="1"/>
  <c r="I222" i="1"/>
  <c r="H222" i="1"/>
  <c r="G222" i="1"/>
  <c r="E222" i="1"/>
  <c r="D222" i="1"/>
  <c r="AH221" i="1"/>
  <c r="L221" i="1"/>
  <c r="K221" i="1"/>
  <c r="I221" i="1"/>
  <c r="H221" i="1"/>
  <c r="G221" i="1"/>
  <c r="E221" i="1"/>
  <c r="D221" i="1"/>
  <c r="AH220" i="1"/>
  <c r="L220" i="1"/>
  <c r="K220" i="1"/>
  <c r="I220" i="1"/>
  <c r="H220" i="1"/>
  <c r="G220" i="1"/>
  <c r="E220" i="1"/>
  <c r="D220" i="1"/>
  <c r="AH219" i="1"/>
  <c r="L219" i="1"/>
  <c r="K219" i="1"/>
  <c r="I219" i="1"/>
  <c r="AH218" i="1"/>
  <c r="L218" i="1"/>
  <c r="K218" i="1"/>
  <c r="I218" i="1"/>
  <c r="H218" i="1"/>
  <c r="G218" i="1"/>
  <c r="E218" i="1"/>
  <c r="D218" i="1"/>
  <c r="AH217" i="1"/>
  <c r="L217" i="1"/>
  <c r="K217" i="1"/>
  <c r="I217" i="1"/>
  <c r="AH216" i="1"/>
  <c r="L216" i="1"/>
  <c r="K216" i="1"/>
  <c r="I216" i="1"/>
  <c r="AH215" i="1"/>
  <c r="L215" i="1"/>
  <c r="K215" i="1"/>
  <c r="I215" i="1"/>
  <c r="H215" i="1"/>
  <c r="G215" i="1"/>
  <c r="E215" i="1"/>
  <c r="D215" i="1"/>
  <c r="AH214" i="1"/>
  <c r="L214" i="1"/>
  <c r="K214" i="1"/>
  <c r="I214" i="1"/>
  <c r="AH213" i="1"/>
  <c r="L213" i="1"/>
  <c r="K213" i="1"/>
  <c r="I213" i="1"/>
  <c r="H213" i="1"/>
  <c r="G213" i="1"/>
  <c r="E213" i="1"/>
  <c r="D213" i="1"/>
  <c r="AH212" i="1"/>
  <c r="L212" i="1"/>
  <c r="K212" i="1"/>
  <c r="I212" i="1"/>
  <c r="H212" i="1"/>
  <c r="G212" i="1"/>
  <c r="E212" i="1"/>
  <c r="D212" i="1"/>
  <c r="AH211" i="1"/>
  <c r="L211" i="1"/>
  <c r="K211" i="1"/>
  <c r="I211" i="1"/>
  <c r="H211" i="1"/>
  <c r="G211" i="1"/>
  <c r="E211" i="1"/>
  <c r="D211" i="1"/>
  <c r="AH210" i="1"/>
  <c r="L210" i="1"/>
  <c r="K210" i="1"/>
  <c r="I210" i="1"/>
  <c r="H210" i="1"/>
  <c r="G210" i="1"/>
  <c r="E210" i="1"/>
  <c r="D210" i="1"/>
  <c r="AH209" i="1"/>
  <c r="L209" i="1"/>
  <c r="K209" i="1"/>
  <c r="I209" i="1"/>
  <c r="AH208" i="1"/>
  <c r="L208" i="1"/>
  <c r="K208" i="1"/>
  <c r="I208" i="1"/>
  <c r="H208" i="1"/>
  <c r="G208" i="1"/>
  <c r="E208" i="1"/>
  <c r="D208" i="1"/>
  <c r="AH207" i="1"/>
  <c r="L207" i="1"/>
  <c r="K207" i="1"/>
  <c r="I207" i="1"/>
  <c r="AH206" i="1"/>
  <c r="L206" i="1"/>
  <c r="K206" i="1"/>
  <c r="I206" i="1"/>
  <c r="AH205" i="1"/>
  <c r="L205" i="1"/>
  <c r="K205" i="1"/>
  <c r="I205" i="1"/>
  <c r="AH204" i="1"/>
  <c r="L204" i="1"/>
  <c r="K204" i="1"/>
  <c r="I204" i="1"/>
  <c r="H204" i="1"/>
  <c r="G204" i="1"/>
  <c r="E204" i="1"/>
  <c r="D204" i="1"/>
  <c r="AH203" i="1"/>
  <c r="L203" i="1"/>
  <c r="K203" i="1"/>
  <c r="AH202" i="1"/>
  <c r="L202" i="1"/>
  <c r="K202" i="1"/>
  <c r="I202" i="1"/>
  <c r="H202" i="1"/>
  <c r="G202" i="1"/>
  <c r="E202" i="1"/>
  <c r="D202" i="1"/>
  <c r="AH201" i="1"/>
  <c r="L201" i="1"/>
  <c r="K201" i="1"/>
  <c r="I201" i="1"/>
  <c r="H201" i="1"/>
  <c r="G201" i="1"/>
  <c r="E201" i="1"/>
  <c r="D201" i="1"/>
  <c r="AH200" i="1"/>
  <c r="L200" i="1"/>
  <c r="K200" i="1"/>
  <c r="I200" i="1"/>
  <c r="AH199" i="1"/>
  <c r="L199" i="1"/>
  <c r="K199" i="1"/>
  <c r="I199" i="1"/>
  <c r="H199" i="1"/>
  <c r="G199" i="1"/>
  <c r="E199" i="1"/>
  <c r="D199" i="1"/>
  <c r="AH198" i="1"/>
  <c r="L198" i="1"/>
  <c r="K198" i="1"/>
  <c r="I198" i="1"/>
  <c r="H198" i="1"/>
  <c r="G198" i="1"/>
  <c r="E198" i="1"/>
  <c r="D198" i="1"/>
  <c r="AH197" i="1"/>
  <c r="L197" i="1"/>
  <c r="K197" i="1"/>
  <c r="I197" i="1"/>
  <c r="H197" i="1"/>
  <c r="G197" i="1"/>
  <c r="E197" i="1"/>
  <c r="D197" i="1"/>
  <c r="AH196" i="1"/>
  <c r="L196" i="1"/>
  <c r="K196" i="1"/>
  <c r="I196" i="1"/>
  <c r="H196" i="1"/>
  <c r="G196" i="1"/>
  <c r="E196" i="1"/>
  <c r="D196" i="1"/>
  <c r="AH195" i="1"/>
  <c r="L195" i="1"/>
  <c r="K195" i="1"/>
  <c r="I195" i="1"/>
  <c r="H195" i="1"/>
  <c r="G195" i="1"/>
  <c r="E195" i="1"/>
  <c r="D195" i="1"/>
  <c r="AH194" i="1"/>
  <c r="L194" i="1"/>
  <c r="K194" i="1"/>
  <c r="I194" i="1"/>
  <c r="H194" i="1"/>
  <c r="G194" i="1"/>
  <c r="E194" i="1"/>
  <c r="D194" i="1"/>
  <c r="AH193" i="1"/>
  <c r="L193" i="1"/>
  <c r="K193" i="1"/>
  <c r="I193" i="1"/>
  <c r="H193" i="1"/>
  <c r="G193" i="1"/>
  <c r="E193" i="1"/>
  <c r="D193" i="1"/>
  <c r="AH192" i="1"/>
  <c r="L192" i="1"/>
  <c r="K192" i="1"/>
  <c r="I192" i="1"/>
  <c r="H192" i="1"/>
  <c r="G192" i="1"/>
  <c r="E192" i="1"/>
  <c r="D192" i="1"/>
  <c r="AH191" i="1"/>
  <c r="L191" i="1"/>
  <c r="K191" i="1"/>
  <c r="I191" i="1"/>
  <c r="H191" i="1"/>
  <c r="G191" i="1"/>
  <c r="E191" i="1"/>
  <c r="D191" i="1"/>
  <c r="AH190" i="1"/>
  <c r="L190" i="1"/>
  <c r="K190" i="1"/>
  <c r="I190" i="1"/>
  <c r="H190" i="1"/>
  <c r="G190" i="1"/>
  <c r="E190" i="1"/>
  <c r="D190" i="1"/>
  <c r="AH189" i="1"/>
  <c r="L189" i="1"/>
  <c r="K189" i="1"/>
  <c r="I189" i="1"/>
  <c r="H189" i="1"/>
  <c r="G189" i="1"/>
  <c r="E189" i="1"/>
  <c r="D189" i="1"/>
  <c r="AH188" i="1"/>
  <c r="L188" i="1"/>
  <c r="K188" i="1"/>
  <c r="I188" i="1"/>
  <c r="H188" i="1"/>
  <c r="G188" i="1"/>
  <c r="E188" i="1"/>
  <c r="D188" i="1"/>
  <c r="AH187" i="1"/>
  <c r="L187" i="1"/>
  <c r="K187" i="1"/>
  <c r="I187" i="1"/>
  <c r="H187" i="1"/>
  <c r="G187" i="1"/>
  <c r="E187" i="1"/>
  <c r="D187" i="1"/>
  <c r="AH186" i="1"/>
  <c r="L186" i="1"/>
  <c r="K186" i="1"/>
  <c r="I186" i="1"/>
  <c r="AH185" i="1"/>
  <c r="L185" i="1"/>
  <c r="K185" i="1"/>
  <c r="I185" i="1"/>
  <c r="AH184" i="1"/>
  <c r="L184" i="1"/>
  <c r="K184" i="1"/>
  <c r="I184" i="1"/>
  <c r="AH183" i="1"/>
  <c r="L183" i="1"/>
  <c r="K183" i="1"/>
  <c r="I183" i="1"/>
  <c r="AH182" i="1"/>
  <c r="L182" i="1"/>
  <c r="K182" i="1"/>
  <c r="I182" i="1"/>
  <c r="H182" i="1"/>
  <c r="G182" i="1"/>
  <c r="E182" i="1"/>
  <c r="D182" i="1"/>
  <c r="AH181" i="1"/>
  <c r="L181" i="1"/>
  <c r="K181" i="1"/>
  <c r="I181" i="1"/>
  <c r="AH180" i="1"/>
  <c r="L180" i="1"/>
  <c r="K180" i="1"/>
  <c r="I180" i="1"/>
  <c r="H180" i="1"/>
  <c r="G180" i="1"/>
  <c r="E180" i="1"/>
  <c r="D180" i="1"/>
  <c r="AH179" i="1"/>
  <c r="L179" i="1"/>
  <c r="K179" i="1"/>
  <c r="I179" i="1"/>
  <c r="H179" i="1"/>
  <c r="G179" i="1"/>
  <c r="E179" i="1"/>
  <c r="D179" i="1"/>
  <c r="AH178" i="1"/>
  <c r="L178" i="1"/>
  <c r="K178" i="1"/>
  <c r="I178" i="1"/>
  <c r="AH177" i="1"/>
  <c r="L177" i="1"/>
  <c r="K177" i="1"/>
  <c r="I177" i="1"/>
  <c r="H177" i="1"/>
  <c r="G177" i="1"/>
  <c r="E177" i="1"/>
  <c r="D177" i="1"/>
  <c r="AH176" i="1"/>
  <c r="L176" i="1"/>
  <c r="K176" i="1"/>
  <c r="I176" i="1"/>
  <c r="H176" i="1"/>
  <c r="G176" i="1"/>
  <c r="E176" i="1"/>
  <c r="D176" i="1"/>
  <c r="AH175" i="1"/>
  <c r="L175" i="1"/>
  <c r="K175" i="1"/>
  <c r="I175" i="1"/>
  <c r="H175" i="1"/>
  <c r="G175" i="1"/>
  <c r="E175" i="1"/>
  <c r="D175" i="1"/>
  <c r="AH174" i="1"/>
  <c r="L174" i="1"/>
  <c r="K174" i="1"/>
  <c r="I174" i="1"/>
  <c r="H174" i="1"/>
  <c r="G174" i="1"/>
  <c r="E174" i="1"/>
  <c r="D174" i="1"/>
  <c r="AH173" i="1"/>
  <c r="L173" i="1"/>
  <c r="K173" i="1"/>
  <c r="I173" i="1"/>
  <c r="H173" i="1"/>
  <c r="G173" i="1"/>
  <c r="E173" i="1"/>
  <c r="D173" i="1"/>
  <c r="AH172" i="1"/>
  <c r="L172" i="1"/>
  <c r="K172" i="1"/>
  <c r="I172" i="1"/>
  <c r="H172" i="1"/>
  <c r="G172" i="1"/>
  <c r="E172" i="1"/>
  <c r="D172" i="1"/>
  <c r="AH171" i="1"/>
  <c r="L171" i="1"/>
  <c r="K171" i="1"/>
  <c r="I171" i="1"/>
  <c r="AH170" i="1"/>
  <c r="L170" i="1"/>
  <c r="K170" i="1"/>
  <c r="I170" i="1"/>
  <c r="H170" i="1"/>
  <c r="G170" i="1"/>
  <c r="E170" i="1"/>
  <c r="D170" i="1"/>
  <c r="AH169" i="1"/>
  <c r="L169" i="1"/>
  <c r="K169" i="1"/>
  <c r="I169" i="1"/>
  <c r="H169" i="1"/>
  <c r="G169" i="1"/>
  <c r="E169" i="1"/>
  <c r="D169" i="1"/>
  <c r="AH168" i="1"/>
  <c r="L168" i="1"/>
  <c r="K168" i="1"/>
  <c r="I168" i="1"/>
  <c r="AH167" i="1"/>
  <c r="L167" i="1"/>
  <c r="K167" i="1"/>
  <c r="I167" i="1"/>
  <c r="H167" i="1"/>
  <c r="G167" i="1"/>
  <c r="E167" i="1"/>
  <c r="D167" i="1"/>
  <c r="AH166" i="1"/>
  <c r="L166" i="1"/>
  <c r="K166" i="1"/>
  <c r="I166" i="1"/>
  <c r="AH165" i="1"/>
  <c r="L165" i="1"/>
  <c r="K165" i="1"/>
  <c r="I165" i="1"/>
  <c r="H165" i="1"/>
  <c r="G165" i="1"/>
  <c r="E165" i="1"/>
  <c r="D165" i="1"/>
  <c r="AH164" i="1"/>
  <c r="L164" i="1"/>
  <c r="K164" i="1"/>
  <c r="I164" i="1"/>
  <c r="H164" i="1"/>
  <c r="G164" i="1"/>
  <c r="E164" i="1"/>
  <c r="D164" i="1"/>
  <c r="AH163" i="1"/>
  <c r="L163" i="1"/>
  <c r="K163" i="1"/>
  <c r="I163" i="1"/>
  <c r="AH162" i="1"/>
  <c r="L162" i="1"/>
  <c r="K162" i="1"/>
  <c r="I162" i="1"/>
  <c r="AH161" i="1"/>
  <c r="L161" i="1"/>
  <c r="K161" i="1"/>
  <c r="I161" i="1"/>
  <c r="AH160" i="1"/>
  <c r="L160" i="1"/>
  <c r="K160" i="1"/>
  <c r="I160" i="1"/>
  <c r="AH159" i="1"/>
  <c r="L159" i="1"/>
  <c r="K159" i="1"/>
  <c r="AH158" i="1"/>
  <c r="L158" i="1"/>
  <c r="K158" i="1"/>
  <c r="I158" i="1"/>
  <c r="AH157" i="1"/>
  <c r="L157" i="1"/>
  <c r="K157" i="1"/>
  <c r="I157" i="1"/>
  <c r="AH156" i="1"/>
  <c r="L156" i="1"/>
  <c r="K156" i="1"/>
  <c r="I156" i="1"/>
  <c r="H156" i="1"/>
  <c r="G156" i="1"/>
  <c r="E156" i="1"/>
  <c r="D156" i="1"/>
  <c r="AH155" i="1"/>
  <c r="L155" i="1"/>
  <c r="K155" i="1"/>
  <c r="I155" i="1"/>
  <c r="AH154" i="1"/>
  <c r="L154" i="1"/>
  <c r="K154" i="1"/>
  <c r="I154" i="1"/>
  <c r="H154" i="1"/>
  <c r="G154" i="1"/>
  <c r="E154" i="1"/>
  <c r="D154" i="1"/>
  <c r="AH153" i="1"/>
  <c r="L153" i="1"/>
  <c r="K153" i="1"/>
  <c r="I153" i="1"/>
  <c r="H153" i="1"/>
  <c r="G153" i="1"/>
  <c r="E153" i="1"/>
  <c r="D153" i="1"/>
  <c r="AH152" i="1"/>
  <c r="L152" i="1"/>
  <c r="K152" i="1"/>
  <c r="I152" i="1"/>
  <c r="AH151" i="1"/>
  <c r="L151" i="1"/>
  <c r="K151" i="1"/>
  <c r="I151" i="1"/>
  <c r="AH150" i="1"/>
  <c r="L150" i="1"/>
  <c r="K150" i="1"/>
  <c r="I150" i="1"/>
  <c r="H150" i="1"/>
  <c r="G150" i="1"/>
  <c r="E150" i="1"/>
  <c r="D150" i="1"/>
  <c r="AH149" i="1"/>
  <c r="L149" i="1"/>
  <c r="K149" i="1"/>
  <c r="I149" i="1"/>
  <c r="H149" i="1"/>
  <c r="G149" i="1"/>
  <c r="E149" i="1"/>
  <c r="D149" i="1"/>
  <c r="AH148" i="1"/>
  <c r="L148" i="1"/>
  <c r="K148" i="1"/>
  <c r="I148" i="1"/>
  <c r="H148" i="1"/>
  <c r="G148" i="1"/>
  <c r="E148" i="1"/>
  <c r="D148" i="1"/>
  <c r="AH147" i="1"/>
  <c r="L147" i="1"/>
  <c r="K147" i="1"/>
  <c r="I147" i="1"/>
  <c r="H147" i="1"/>
  <c r="G147" i="1"/>
  <c r="E147" i="1"/>
  <c r="D147" i="1"/>
  <c r="AH146" i="1"/>
  <c r="L146" i="1"/>
  <c r="K146" i="1"/>
  <c r="I146" i="1"/>
  <c r="H146" i="1"/>
  <c r="G146" i="1"/>
  <c r="E146" i="1"/>
  <c r="D146" i="1"/>
  <c r="AH145" i="1"/>
  <c r="L145" i="1"/>
  <c r="K145" i="1"/>
  <c r="I145" i="1"/>
  <c r="H145" i="1"/>
  <c r="G145" i="1"/>
  <c r="E145" i="1"/>
  <c r="D145" i="1"/>
  <c r="AH144" i="1"/>
  <c r="L144" i="1"/>
  <c r="K144" i="1"/>
  <c r="H144" i="1"/>
  <c r="G144" i="1"/>
  <c r="E144" i="1"/>
  <c r="D144" i="1"/>
  <c r="AH143" i="1"/>
  <c r="L143" i="1"/>
  <c r="K143" i="1"/>
  <c r="I143" i="1"/>
  <c r="AH142" i="1"/>
  <c r="L142" i="1"/>
  <c r="K142" i="1"/>
  <c r="I142" i="1"/>
  <c r="H142" i="1"/>
  <c r="G142" i="1"/>
  <c r="E142" i="1"/>
  <c r="D142" i="1"/>
  <c r="AH141" i="1"/>
  <c r="L141" i="1"/>
  <c r="K141" i="1"/>
  <c r="I141" i="1"/>
  <c r="H141" i="1"/>
  <c r="G141" i="1"/>
  <c r="E141" i="1"/>
  <c r="D141" i="1"/>
  <c r="AH140" i="1"/>
  <c r="L140" i="1"/>
  <c r="K140" i="1"/>
  <c r="I140" i="1"/>
  <c r="H140" i="1"/>
  <c r="G140" i="1"/>
  <c r="E140" i="1"/>
  <c r="D140" i="1"/>
  <c r="AH139" i="1"/>
  <c r="L139" i="1"/>
  <c r="K139" i="1"/>
  <c r="I139" i="1"/>
  <c r="H139" i="1"/>
  <c r="G139" i="1"/>
  <c r="E139" i="1"/>
  <c r="D139" i="1"/>
  <c r="AH138" i="1"/>
  <c r="L138" i="1"/>
  <c r="K138" i="1"/>
  <c r="I138" i="1"/>
  <c r="H138" i="1"/>
  <c r="G138" i="1"/>
  <c r="E138" i="1"/>
  <c r="D138" i="1"/>
  <c r="AH137" i="1"/>
  <c r="L137" i="1"/>
  <c r="K137" i="1"/>
  <c r="I137" i="1"/>
  <c r="H137" i="1"/>
  <c r="G137" i="1"/>
  <c r="E137" i="1"/>
  <c r="D137" i="1"/>
  <c r="AH136" i="1"/>
  <c r="L136" i="1"/>
  <c r="K136" i="1"/>
  <c r="I136" i="1"/>
  <c r="H136" i="1"/>
  <c r="G136" i="1"/>
  <c r="E136" i="1"/>
  <c r="D136" i="1"/>
  <c r="AH135" i="1"/>
  <c r="L135" i="1"/>
  <c r="K135" i="1"/>
  <c r="I135" i="1"/>
  <c r="H135" i="1"/>
  <c r="G135" i="1"/>
  <c r="E135" i="1"/>
  <c r="D135" i="1"/>
  <c r="AH134" i="1"/>
  <c r="L134" i="1"/>
  <c r="K134" i="1"/>
  <c r="I134" i="1"/>
  <c r="H134" i="1"/>
  <c r="G134" i="1"/>
  <c r="E134" i="1"/>
  <c r="D134" i="1"/>
  <c r="AH133" i="1"/>
  <c r="L133" i="1"/>
  <c r="K133" i="1"/>
  <c r="I133" i="1"/>
  <c r="AH132" i="1"/>
  <c r="L132" i="1"/>
  <c r="K132" i="1"/>
  <c r="I132" i="1"/>
  <c r="AH131" i="1"/>
  <c r="L131" i="1"/>
  <c r="K131" i="1"/>
  <c r="I131" i="1"/>
  <c r="H131" i="1"/>
  <c r="G131" i="1"/>
  <c r="E131" i="1"/>
  <c r="D131" i="1"/>
  <c r="AH130" i="1"/>
  <c r="L130" i="1"/>
  <c r="K130" i="1"/>
  <c r="I130" i="1"/>
  <c r="H130" i="1"/>
  <c r="G130" i="1"/>
  <c r="E130" i="1"/>
  <c r="D130" i="1"/>
  <c r="AH129" i="1"/>
  <c r="L129" i="1"/>
  <c r="K129" i="1"/>
  <c r="I129" i="1"/>
  <c r="H129" i="1"/>
  <c r="G129" i="1"/>
  <c r="E129" i="1"/>
  <c r="D129" i="1"/>
  <c r="AH128" i="1"/>
  <c r="L128" i="1"/>
  <c r="K128" i="1"/>
  <c r="I128" i="1"/>
  <c r="H128" i="1"/>
  <c r="G128" i="1"/>
  <c r="E128" i="1"/>
  <c r="D128" i="1"/>
  <c r="AH127" i="1"/>
  <c r="L127" i="1"/>
  <c r="K127" i="1"/>
  <c r="I127" i="1"/>
  <c r="H127" i="1"/>
  <c r="G127" i="1"/>
  <c r="E127" i="1"/>
  <c r="D127" i="1"/>
  <c r="AH126" i="1"/>
  <c r="L126" i="1"/>
  <c r="K126" i="1"/>
  <c r="I126" i="1"/>
  <c r="H126" i="1"/>
  <c r="G126" i="1"/>
  <c r="E126" i="1"/>
  <c r="D126" i="1"/>
  <c r="AH125" i="1"/>
  <c r="L125" i="1"/>
  <c r="K125" i="1"/>
  <c r="I125" i="1"/>
  <c r="AH124" i="1"/>
  <c r="L124" i="1"/>
  <c r="K124" i="1"/>
  <c r="I124" i="1"/>
  <c r="H124" i="1"/>
  <c r="G124" i="1"/>
  <c r="E124" i="1"/>
  <c r="D124" i="1"/>
  <c r="AH123" i="1"/>
  <c r="L123" i="1"/>
  <c r="K123" i="1"/>
  <c r="I123" i="1"/>
  <c r="H123" i="1"/>
  <c r="G123" i="1"/>
  <c r="E123" i="1"/>
  <c r="D123" i="1"/>
  <c r="AH122" i="1"/>
  <c r="L122" i="1"/>
  <c r="K122" i="1"/>
  <c r="I122" i="1"/>
  <c r="AH121" i="1"/>
  <c r="L121" i="1"/>
  <c r="K121" i="1"/>
  <c r="I121" i="1"/>
  <c r="H121" i="1"/>
  <c r="G121" i="1"/>
  <c r="E121" i="1"/>
  <c r="D121" i="1"/>
  <c r="AH120" i="1"/>
  <c r="L120" i="1"/>
  <c r="K120" i="1"/>
  <c r="I120" i="1"/>
  <c r="H120" i="1"/>
  <c r="G120" i="1"/>
  <c r="E120" i="1"/>
  <c r="D120" i="1"/>
  <c r="AH119" i="1"/>
  <c r="L119" i="1"/>
  <c r="K119" i="1"/>
  <c r="I119" i="1"/>
  <c r="H119" i="1"/>
  <c r="G119" i="1"/>
  <c r="E119" i="1"/>
  <c r="D119" i="1"/>
  <c r="AH118" i="1"/>
  <c r="L118" i="1"/>
  <c r="K118" i="1"/>
  <c r="I118" i="1"/>
  <c r="AH117" i="1"/>
  <c r="L117" i="1"/>
  <c r="K117" i="1"/>
  <c r="I117" i="1"/>
  <c r="H117" i="1"/>
  <c r="G117" i="1"/>
  <c r="E117" i="1"/>
  <c r="D117" i="1"/>
  <c r="AH116" i="1"/>
  <c r="L116" i="1"/>
  <c r="K116" i="1"/>
  <c r="I116" i="1"/>
  <c r="AH115" i="1"/>
  <c r="L115" i="1"/>
  <c r="K115" i="1"/>
  <c r="I115" i="1"/>
  <c r="H115" i="1"/>
  <c r="G115" i="1"/>
  <c r="E115" i="1"/>
  <c r="D115" i="1"/>
  <c r="AH114" i="1"/>
  <c r="L114" i="1"/>
  <c r="K114" i="1"/>
  <c r="I114" i="1"/>
  <c r="AH113" i="1"/>
  <c r="L113" i="1"/>
  <c r="K113" i="1"/>
  <c r="I113" i="1"/>
  <c r="AH112" i="1"/>
  <c r="L112" i="1"/>
  <c r="K112" i="1"/>
  <c r="I112" i="1"/>
  <c r="H112" i="1"/>
  <c r="G112" i="1"/>
  <c r="E112" i="1"/>
  <c r="D112" i="1"/>
  <c r="AH111" i="1"/>
  <c r="L111" i="1"/>
  <c r="K111" i="1"/>
  <c r="I111" i="1"/>
  <c r="AH110" i="1"/>
  <c r="L110" i="1"/>
  <c r="K110" i="1"/>
  <c r="I110" i="1"/>
  <c r="AH109" i="1"/>
  <c r="L109" i="1"/>
  <c r="K109" i="1"/>
  <c r="I109" i="1"/>
  <c r="H109" i="1"/>
  <c r="G109" i="1"/>
  <c r="E109" i="1"/>
  <c r="D109" i="1"/>
  <c r="AH108" i="1"/>
  <c r="L108" i="1"/>
  <c r="K108" i="1"/>
  <c r="I108" i="1"/>
  <c r="H108" i="1"/>
  <c r="G108" i="1"/>
  <c r="E108" i="1"/>
  <c r="D108" i="1"/>
  <c r="AH107" i="1"/>
  <c r="L107" i="1"/>
  <c r="K107" i="1"/>
  <c r="I107" i="1"/>
  <c r="AH106" i="1"/>
  <c r="L106" i="1"/>
  <c r="K106" i="1"/>
  <c r="I106" i="1"/>
  <c r="AH105" i="1"/>
  <c r="L105" i="1"/>
  <c r="K105" i="1"/>
  <c r="AH104" i="1"/>
  <c r="L104" i="1"/>
  <c r="K104" i="1"/>
  <c r="I104" i="1"/>
  <c r="AH103" i="1"/>
  <c r="L103" i="1"/>
  <c r="K103" i="1"/>
  <c r="I103" i="1"/>
  <c r="AH102" i="1"/>
  <c r="L102" i="1"/>
  <c r="K102" i="1"/>
  <c r="I102" i="1"/>
  <c r="AH101" i="1"/>
  <c r="L101" i="1"/>
  <c r="K101" i="1"/>
  <c r="I101" i="1"/>
  <c r="AH100" i="1"/>
  <c r="L100" i="1"/>
  <c r="K100" i="1"/>
  <c r="I100" i="1"/>
  <c r="H100" i="1"/>
  <c r="G100" i="1"/>
  <c r="E100" i="1"/>
  <c r="D100" i="1"/>
  <c r="AH99" i="1"/>
  <c r="L99" i="1"/>
  <c r="K99" i="1"/>
  <c r="I99" i="1"/>
  <c r="H99" i="1"/>
  <c r="G99" i="1"/>
  <c r="E99" i="1"/>
  <c r="D99" i="1"/>
  <c r="AH98" i="1"/>
  <c r="L98" i="1"/>
  <c r="K98" i="1"/>
  <c r="I98" i="1"/>
  <c r="AH97" i="1"/>
  <c r="L97" i="1"/>
  <c r="K97" i="1"/>
  <c r="I97" i="1"/>
  <c r="AH96" i="1"/>
  <c r="L96" i="1"/>
  <c r="K96" i="1"/>
  <c r="I96" i="1"/>
  <c r="AH95" i="1"/>
  <c r="L95" i="1"/>
  <c r="K95" i="1"/>
  <c r="I95" i="1"/>
  <c r="AH94" i="1"/>
  <c r="L94" i="1"/>
  <c r="K94" i="1"/>
  <c r="I94" i="1"/>
  <c r="AH93" i="1"/>
  <c r="L93" i="1"/>
  <c r="K93" i="1"/>
  <c r="I93" i="1"/>
  <c r="H93" i="1"/>
  <c r="G93" i="1"/>
  <c r="E93" i="1"/>
  <c r="D93" i="1"/>
  <c r="AH92" i="1"/>
  <c r="L92" i="1"/>
  <c r="K92" i="1"/>
  <c r="I92" i="1"/>
  <c r="H92" i="1"/>
  <c r="G92" i="1"/>
  <c r="E92" i="1"/>
  <c r="D92" i="1"/>
  <c r="AH91" i="1"/>
  <c r="L91" i="1"/>
  <c r="K91" i="1"/>
  <c r="I91" i="1"/>
  <c r="AH90" i="1"/>
  <c r="L90" i="1"/>
  <c r="K90" i="1"/>
  <c r="I90" i="1"/>
  <c r="AH89" i="1"/>
  <c r="L89" i="1"/>
  <c r="K89" i="1"/>
  <c r="I89" i="1"/>
  <c r="AH88" i="1"/>
  <c r="L88" i="1"/>
  <c r="K88" i="1"/>
  <c r="I88" i="1"/>
  <c r="AH87" i="1"/>
  <c r="L87" i="1"/>
  <c r="K87" i="1"/>
  <c r="I87" i="1"/>
  <c r="AH86" i="1"/>
  <c r="L86" i="1"/>
  <c r="K86" i="1"/>
  <c r="I86" i="1"/>
  <c r="H86" i="1"/>
  <c r="G86" i="1"/>
  <c r="E86" i="1"/>
  <c r="D86" i="1"/>
  <c r="AH85" i="1"/>
  <c r="L85" i="1"/>
  <c r="K85" i="1"/>
  <c r="I85" i="1"/>
  <c r="H85" i="1"/>
  <c r="G85" i="1"/>
  <c r="E85" i="1"/>
  <c r="D85" i="1"/>
  <c r="AH84" i="1"/>
  <c r="L84" i="1"/>
  <c r="K84" i="1"/>
  <c r="I84" i="1"/>
  <c r="H84" i="1"/>
  <c r="G84" i="1"/>
  <c r="E84" i="1"/>
  <c r="D84" i="1"/>
  <c r="AH83" i="1"/>
  <c r="L83" i="1"/>
  <c r="K83" i="1"/>
  <c r="I83" i="1"/>
  <c r="H83" i="1"/>
  <c r="G83" i="1"/>
  <c r="E83" i="1"/>
  <c r="D83" i="1"/>
  <c r="AH82" i="1"/>
  <c r="L82" i="1"/>
  <c r="K82" i="1"/>
  <c r="I82" i="1"/>
  <c r="H82" i="1"/>
  <c r="G82" i="1"/>
  <c r="E82" i="1"/>
  <c r="D82" i="1"/>
  <c r="AH81" i="1"/>
  <c r="L81" i="1"/>
  <c r="K81" i="1"/>
  <c r="I81" i="1"/>
  <c r="AH80" i="1"/>
  <c r="L80" i="1"/>
  <c r="K80" i="1"/>
  <c r="I80" i="1"/>
  <c r="AH79" i="1"/>
  <c r="L79" i="1"/>
  <c r="K79" i="1"/>
  <c r="I79" i="1"/>
  <c r="AH78" i="1"/>
  <c r="L78" i="1"/>
  <c r="K78" i="1"/>
  <c r="I78" i="1"/>
  <c r="H78" i="1"/>
  <c r="G78" i="1"/>
  <c r="E78" i="1"/>
  <c r="D78" i="1"/>
  <c r="AH77" i="1"/>
  <c r="L77" i="1"/>
  <c r="K77" i="1"/>
  <c r="I77" i="1"/>
  <c r="H77" i="1"/>
  <c r="G77" i="1"/>
  <c r="E77" i="1"/>
  <c r="D77" i="1"/>
  <c r="AH76" i="1"/>
  <c r="L76" i="1"/>
  <c r="K76" i="1"/>
  <c r="I76" i="1"/>
  <c r="AH75" i="1"/>
  <c r="L75" i="1"/>
  <c r="K75" i="1"/>
  <c r="I75" i="1"/>
  <c r="AH74" i="1"/>
  <c r="L74" i="1"/>
  <c r="K74" i="1"/>
  <c r="I74" i="1"/>
  <c r="AH73" i="1"/>
  <c r="L73" i="1"/>
  <c r="K73" i="1"/>
  <c r="I73" i="1"/>
  <c r="AH72" i="1"/>
  <c r="L72" i="1"/>
  <c r="K72" i="1"/>
  <c r="I72" i="1"/>
  <c r="AH71" i="1"/>
  <c r="L71" i="1"/>
  <c r="K71" i="1"/>
  <c r="I71" i="1"/>
  <c r="AH70" i="1"/>
  <c r="L70" i="1"/>
  <c r="K70" i="1"/>
  <c r="I70" i="1"/>
  <c r="H70" i="1"/>
  <c r="G70" i="1"/>
  <c r="E70" i="1"/>
  <c r="D70" i="1"/>
  <c r="AH69" i="1"/>
  <c r="L69" i="1"/>
  <c r="K69" i="1"/>
  <c r="I69" i="1"/>
  <c r="H69" i="1"/>
  <c r="G69" i="1"/>
  <c r="E69" i="1"/>
  <c r="D69" i="1"/>
  <c r="AH68" i="1"/>
  <c r="L68" i="1"/>
  <c r="K68" i="1"/>
  <c r="I68" i="1"/>
  <c r="H68" i="1"/>
  <c r="G68" i="1"/>
  <c r="E68" i="1"/>
  <c r="D68" i="1"/>
  <c r="AH67" i="1"/>
  <c r="L67" i="1"/>
  <c r="K67" i="1"/>
  <c r="I67" i="1"/>
  <c r="H67" i="1"/>
  <c r="G67" i="1"/>
  <c r="AH66" i="1"/>
  <c r="L66" i="1"/>
  <c r="K66" i="1"/>
  <c r="I66" i="1"/>
  <c r="AH65" i="1"/>
  <c r="L65" i="1"/>
  <c r="K65" i="1"/>
  <c r="I65" i="1"/>
  <c r="H65" i="1"/>
  <c r="G65" i="1"/>
  <c r="AH64" i="1"/>
  <c r="L64" i="1"/>
  <c r="K64" i="1"/>
  <c r="I64" i="1"/>
  <c r="H64" i="1"/>
  <c r="G64" i="1"/>
  <c r="E64" i="1"/>
  <c r="D64" i="1"/>
  <c r="AH63" i="1"/>
  <c r="L63" i="1"/>
  <c r="K63" i="1"/>
  <c r="I63" i="1"/>
  <c r="H63" i="1"/>
  <c r="G63" i="1"/>
  <c r="E63" i="1"/>
  <c r="D63" i="1"/>
  <c r="AH62" i="1"/>
  <c r="L62" i="1"/>
  <c r="K62" i="1"/>
  <c r="I62" i="1"/>
  <c r="H62" i="1"/>
  <c r="G62" i="1"/>
  <c r="E62" i="1"/>
  <c r="D62" i="1"/>
  <c r="AH61" i="1"/>
  <c r="L61" i="1"/>
  <c r="K61" i="1"/>
  <c r="I61" i="1"/>
  <c r="AH60" i="1"/>
  <c r="L60" i="1"/>
  <c r="K60" i="1"/>
  <c r="I60" i="1"/>
  <c r="AH59" i="1"/>
  <c r="L59" i="1"/>
  <c r="K59" i="1"/>
  <c r="I59" i="1"/>
  <c r="AH58" i="1"/>
  <c r="L58" i="1"/>
  <c r="K58" i="1"/>
  <c r="I58" i="1"/>
  <c r="AH57" i="1"/>
  <c r="L57" i="1"/>
  <c r="K57" i="1"/>
  <c r="I57" i="1"/>
  <c r="AH56" i="1"/>
  <c r="L56" i="1"/>
  <c r="K56" i="1"/>
  <c r="I56" i="1"/>
  <c r="H56" i="1"/>
  <c r="G56" i="1"/>
  <c r="E56" i="1"/>
  <c r="D56" i="1"/>
  <c r="AH55" i="1"/>
  <c r="L55" i="1"/>
  <c r="K55" i="1"/>
  <c r="I55" i="1"/>
  <c r="AH54" i="1"/>
  <c r="L54" i="1"/>
  <c r="K54" i="1"/>
  <c r="I54" i="1"/>
  <c r="AH53" i="1"/>
  <c r="L53" i="1"/>
  <c r="K53" i="1"/>
  <c r="I53" i="1"/>
  <c r="AH52" i="1"/>
  <c r="L52" i="1"/>
  <c r="K52" i="1"/>
  <c r="I52" i="1"/>
  <c r="AH51" i="1"/>
  <c r="L51" i="1"/>
  <c r="K51" i="1"/>
  <c r="I51" i="1"/>
  <c r="H51" i="1"/>
  <c r="G51" i="1"/>
  <c r="E51" i="1"/>
  <c r="D51" i="1"/>
  <c r="AH50" i="1"/>
  <c r="L50" i="1"/>
  <c r="K50" i="1"/>
  <c r="I50" i="1"/>
  <c r="H50" i="1"/>
  <c r="G50" i="1"/>
  <c r="E50" i="1"/>
  <c r="D50" i="1"/>
  <c r="L49" i="1"/>
  <c r="K49" i="1"/>
  <c r="I49" i="1"/>
  <c r="AH48" i="1"/>
  <c r="L48" i="1"/>
  <c r="K48" i="1"/>
  <c r="I48" i="1"/>
  <c r="AH47" i="1"/>
  <c r="L47" i="1"/>
  <c r="K47" i="1"/>
  <c r="I47" i="1"/>
  <c r="H47" i="1"/>
  <c r="G47" i="1"/>
  <c r="E47" i="1"/>
  <c r="D47" i="1"/>
  <c r="L46" i="1"/>
  <c r="K46" i="1"/>
  <c r="I46" i="1"/>
  <c r="AH45" i="1"/>
  <c r="L45" i="1"/>
  <c r="K45" i="1"/>
  <c r="I45" i="1"/>
  <c r="AH44" i="1"/>
  <c r="L44" i="1"/>
  <c r="K44" i="1"/>
  <c r="I44" i="1"/>
  <c r="AH43" i="1"/>
  <c r="L43" i="1"/>
  <c r="K43" i="1"/>
  <c r="I43" i="1"/>
  <c r="AH42" i="1"/>
  <c r="L42" i="1"/>
  <c r="K42" i="1"/>
  <c r="I42" i="1"/>
  <c r="AH41" i="1"/>
  <c r="L41" i="1"/>
  <c r="K41" i="1"/>
  <c r="I41" i="1"/>
  <c r="L40" i="1"/>
  <c r="K40" i="1"/>
  <c r="I40" i="1"/>
  <c r="H40" i="1"/>
  <c r="G40" i="1"/>
  <c r="E40" i="1"/>
  <c r="D40" i="1"/>
  <c r="AH39" i="1"/>
  <c r="L39" i="1"/>
  <c r="K39" i="1"/>
  <c r="I39" i="1"/>
  <c r="H39" i="1"/>
  <c r="G39" i="1"/>
  <c r="E39" i="1"/>
  <c r="D39" i="1"/>
  <c r="AH38" i="1"/>
  <c r="L38" i="1"/>
  <c r="K38" i="1"/>
  <c r="I38" i="1"/>
  <c r="AH37" i="1"/>
  <c r="L37" i="1"/>
  <c r="K37" i="1"/>
  <c r="I37" i="1"/>
  <c r="AH36" i="1"/>
  <c r="L36" i="1"/>
  <c r="K36" i="1"/>
  <c r="I36" i="1"/>
  <c r="H36" i="1"/>
  <c r="G36" i="1"/>
  <c r="E36" i="1"/>
  <c r="D36" i="1"/>
  <c r="AH35" i="1"/>
  <c r="L35" i="1"/>
  <c r="K35" i="1"/>
  <c r="I35" i="1"/>
  <c r="H35" i="1"/>
  <c r="G35" i="1"/>
  <c r="E35" i="1"/>
  <c r="D35" i="1"/>
  <c r="AH34" i="1"/>
  <c r="L34" i="1"/>
  <c r="K34" i="1"/>
  <c r="I34" i="1"/>
  <c r="H34" i="1"/>
  <c r="G34" i="1"/>
  <c r="E34" i="1"/>
  <c r="D34" i="1"/>
  <c r="AH33" i="1"/>
  <c r="L33" i="1"/>
  <c r="K33" i="1"/>
  <c r="I33" i="1"/>
  <c r="H33" i="1"/>
  <c r="G33" i="1"/>
  <c r="E33" i="1"/>
  <c r="D33" i="1"/>
  <c r="AH32" i="1"/>
  <c r="L32" i="1"/>
  <c r="K32" i="1"/>
  <c r="I32" i="1"/>
  <c r="H32" i="1"/>
  <c r="G32" i="1"/>
  <c r="E32" i="1"/>
  <c r="D32" i="1"/>
  <c r="AH31" i="1"/>
  <c r="L31" i="1"/>
  <c r="K31" i="1"/>
  <c r="I31" i="1"/>
  <c r="H31" i="1"/>
  <c r="G31" i="1"/>
  <c r="E31" i="1"/>
  <c r="D31" i="1"/>
  <c r="AH30" i="1"/>
  <c r="L30" i="1"/>
  <c r="K30" i="1"/>
  <c r="I30" i="1"/>
  <c r="H30" i="1"/>
  <c r="G30" i="1"/>
  <c r="E30" i="1"/>
  <c r="D30" i="1"/>
  <c r="AH29" i="1"/>
  <c r="L29" i="1"/>
  <c r="K29" i="1"/>
  <c r="I29" i="1"/>
  <c r="H29" i="1"/>
  <c r="G29" i="1"/>
  <c r="E29" i="1"/>
  <c r="D29" i="1"/>
  <c r="AH28" i="1"/>
  <c r="L28" i="1"/>
  <c r="K28" i="1"/>
  <c r="I28" i="1"/>
  <c r="AH27" i="1"/>
  <c r="L27" i="1"/>
  <c r="K27" i="1"/>
  <c r="I27" i="1"/>
  <c r="AH26" i="1"/>
  <c r="L26" i="1"/>
  <c r="K26" i="1"/>
  <c r="I26" i="1"/>
  <c r="H26" i="1"/>
  <c r="G26" i="1"/>
  <c r="E26" i="1"/>
  <c r="D26" i="1"/>
  <c r="AH25" i="1"/>
  <c r="L25" i="1"/>
  <c r="K25" i="1"/>
  <c r="I25" i="1"/>
  <c r="AH24" i="1"/>
  <c r="L24" i="1"/>
  <c r="K24" i="1"/>
  <c r="I24" i="1"/>
  <c r="H24" i="1"/>
  <c r="G24" i="1"/>
  <c r="E24" i="1"/>
  <c r="D24" i="1"/>
  <c r="AH23" i="1"/>
  <c r="L23" i="1"/>
  <c r="K23" i="1"/>
  <c r="I23" i="1"/>
  <c r="H23" i="1"/>
  <c r="G23" i="1"/>
  <c r="E23" i="1"/>
  <c r="D23" i="1"/>
  <c r="AH22" i="1"/>
  <c r="L22" i="1"/>
  <c r="K22" i="1"/>
  <c r="I22" i="1"/>
  <c r="H22" i="1"/>
  <c r="G22" i="1"/>
  <c r="E22" i="1"/>
  <c r="D22" i="1"/>
  <c r="AH21" i="1"/>
  <c r="L21" i="1"/>
  <c r="K21" i="1"/>
  <c r="I21" i="1"/>
  <c r="AH20" i="1"/>
  <c r="L20" i="1"/>
  <c r="K20" i="1"/>
  <c r="I20" i="1"/>
  <c r="AH19" i="1"/>
  <c r="L19" i="1"/>
  <c r="K19" i="1"/>
  <c r="I19" i="1"/>
  <c r="AH18" i="1"/>
  <c r="L18" i="1"/>
  <c r="K18" i="1"/>
  <c r="I18" i="1"/>
  <c r="AH17" i="1"/>
  <c r="L17" i="1"/>
  <c r="K17" i="1"/>
  <c r="I17" i="1"/>
  <c r="H17" i="1"/>
  <c r="G17" i="1"/>
  <c r="E17" i="1"/>
  <c r="D17" i="1"/>
  <c r="AH16" i="1"/>
  <c r="L16" i="1"/>
  <c r="K16" i="1"/>
  <c r="I16" i="1"/>
  <c r="H16" i="1"/>
  <c r="G16" i="1"/>
  <c r="E16" i="1"/>
  <c r="D16" i="1"/>
  <c r="AH15" i="1"/>
  <c r="L15" i="1"/>
  <c r="K15" i="1"/>
  <c r="I15" i="1"/>
  <c r="AH14" i="1"/>
  <c r="L14" i="1"/>
  <c r="K14" i="1"/>
  <c r="I14" i="1"/>
  <c r="H14" i="1"/>
  <c r="G14" i="1"/>
  <c r="E14" i="1"/>
  <c r="D14" i="1"/>
  <c r="AH13" i="1"/>
  <c r="L13" i="1"/>
  <c r="K13" i="1"/>
  <c r="I13" i="1"/>
  <c r="AH12" i="1"/>
  <c r="L12" i="1"/>
  <c r="K12" i="1"/>
  <c r="I12" i="1"/>
  <c r="AH11" i="1"/>
  <c r="L11" i="1"/>
  <c r="K11" i="1"/>
  <c r="I11" i="1"/>
  <c r="AH10" i="1"/>
  <c r="L10" i="1"/>
  <c r="K10" i="1"/>
  <c r="I10" i="1"/>
  <c r="AH9" i="1"/>
  <c r="L9" i="1"/>
  <c r="K9" i="1"/>
  <c r="I9" i="1"/>
  <c r="AH8" i="1"/>
  <c r="L8" i="1"/>
  <c r="K8" i="1"/>
  <c r="I8" i="1"/>
  <c r="AH7" i="1"/>
  <c r="L7" i="1"/>
  <c r="K7" i="1"/>
  <c r="I7" i="1"/>
  <c r="H7" i="1"/>
  <c r="G7" i="1"/>
  <c r="E7" i="1"/>
  <c r="D7" i="1"/>
  <c r="AH6" i="1"/>
  <c r="L6" i="1"/>
  <c r="K6" i="1"/>
  <c r="I6" i="1"/>
  <c r="AH5" i="1"/>
  <c r="L5" i="1"/>
  <c r="K5" i="1"/>
  <c r="I5" i="1"/>
  <c r="AH4" i="1"/>
  <c r="L4" i="1"/>
  <c r="K4" i="1"/>
  <c r="I4" i="1"/>
  <c r="H4" i="1"/>
  <c r="G4" i="1"/>
  <c r="E4" i="1"/>
  <c r="D4" i="1"/>
  <c r="AH3" i="1"/>
  <c r="L3" i="1"/>
  <c r="K3" i="1"/>
  <c r="I3" i="1"/>
  <c r="H3" i="1"/>
  <c r="G3" i="1"/>
  <c r="E3" i="1"/>
  <c r="D3" i="1"/>
  <c r="AH2" i="1"/>
  <c r="L2" i="1"/>
  <c r="K2" i="1"/>
  <c r="I2" i="1"/>
  <c r="G2" i="2" l="1"/>
  <c r="I2" i="2" s="1"/>
  <c r="I4" i="2"/>
  <c r="I8" i="2"/>
  <c r="I12" i="2"/>
  <c r="I16" i="2"/>
  <c r="I20" i="2"/>
  <c r="I24" i="2"/>
  <c r="I28" i="2"/>
  <c r="I32" i="2"/>
  <c r="I36" i="2"/>
  <c r="I40" i="2"/>
  <c r="I44" i="2"/>
  <c r="I48" i="2"/>
  <c r="I52" i="2"/>
  <c r="I5" i="2"/>
  <c r="I9" i="2"/>
  <c r="I13" i="2"/>
  <c r="I17" i="2"/>
  <c r="I21" i="2"/>
  <c r="I25" i="2"/>
  <c r="I29" i="2"/>
  <c r="I33" i="2"/>
  <c r="I37" i="2"/>
  <c r="I41" i="2"/>
  <c r="I45" i="2"/>
  <c r="I49" i="2"/>
  <c r="I53" i="2"/>
  <c r="I6" i="2"/>
  <c r="I14" i="2"/>
  <c r="I22" i="2"/>
  <c r="I30" i="2"/>
  <c r="I38" i="2"/>
  <c r="I46" i="2"/>
  <c r="I54" i="2"/>
  <c r="I7" i="2"/>
  <c r="I15" i="2"/>
  <c r="I23" i="2"/>
  <c r="I31" i="2"/>
  <c r="I39" i="2"/>
  <c r="I47" i="2"/>
  <c r="I55" i="2"/>
  <c r="I10" i="2"/>
  <c r="I18" i="2"/>
  <c r="I26" i="2"/>
  <c r="I34" i="2"/>
  <c r="I42" i="2"/>
  <c r="I50" i="2"/>
  <c r="I3" i="2"/>
  <c r="I11" i="2"/>
  <c r="I19" i="2"/>
  <c r="I27" i="2"/>
  <c r="I35" i="2"/>
  <c r="I43" i="2"/>
  <c r="I51" i="2"/>
  <c r="L2" i="2"/>
  <c r="N2" i="2" s="1"/>
  <c r="N5" i="2"/>
  <c r="N9" i="2"/>
  <c r="N13" i="2"/>
  <c r="N17" i="2"/>
  <c r="N21" i="2"/>
  <c r="N25" i="2"/>
  <c r="N29" i="2"/>
  <c r="N33" i="2"/>
  <c r="N37" i="2"/>
  <c r="N41" i="2"/>
  <c r="N45" i="2"/>
  <c r="N49" i="2"/>
  <c r="N53" i="2"/>
  <c r="N57" i="2"/>
  <c r="N61" i="2"/>
  <c r="N65" i="2"/>
  <c r="N69" i="2"/>
  <c r="N73" i="2"/>
  <c r="N77" i="2"/>
  <c r="N81" i="2"/>
  <c r="N85" i="2"/>
  <c r="N89" i="2"/>
  <c r="N93" i="2"/>
  <c r="N97" i="2"/>
  <c r="N101" i="2"/>
  <c r="N105" i="2"/>
  <c r="N109" i="2"/>
  <c r="N113" i="2"/>
  <c r="N117" i="2"/>
  <c r="N121" i="2"/>
  <c r="N6" i="2"/>
  <c r="N10" i="2"/>
  <c r="N14" i="2"/>
  <c r="N18" i="2"/>
  <c r="N22" i="2"/>
  <c r="N26" i="2"/>
  <c r="N30" i="2"/>
  <c r="N34" i="2"/>
  <c r="N38" i="2"/>
  <c r="N42" i="2"/>
  <c r="N46" i="2"/>
  <c r="N50" i="2"/>
  <c r="N54" i="2"/>
  <c r="N58" i="2"/>
  <c r="N62" i="2"/>
  <c r="N66" i="2"/>
  <c r="N70" i="2"/>
  <c r="N74" i="2"/>
  <c r="N78" i="2"/>
  <c r="N82" i="2"/>
  <c r="N86" i="2"/>
  <c r="N90" i="2"/>
  <c r="N94" i="2"/>
  <c r="N98" i="2"/>
  <c r="N102" i="2"/>
  <c r="N106" i="2"/>
  <c r="N110" i="2"/>
  <c r="N114" i="2"/>
  <c r="N118" i="2"/>
  <c r="N122" i="2"/>
  <c r="N7" i="2"/>
  <c r="N15" i="2"/>
  <c r="N23" i="2"/>
  <c r="N31" i="2"/>
  <c r="N39" i="2"/>
  <c r="N47" i="2"/>
  <c r="N55" i="2"/>
  <c r="N63" i="2"/>
  <c r="N71" i="2"/>
  <c r="N79" i="2"/>
  <c r="N87" i="2"/>
  <c r="N95" i="2"/>
  <c r="N103" i="2"/>
  <c r="N111" i="2"/>
  <c r="N119" i="2"/>
  <c r="N8" i="2"/>
  <c r="N16" i="2"/>
  <c r="N24" i="2"/>
  <c r="N32" i="2"/>
  <c r="N40" i="2"/>
  <c r="N48" i="2"/>
  <c r="N56" i="2"/>
  <c r="N64" i="2"/>
  <c r="N72" i="2"/>
  <c r="N80" i="2"/>
  <c r="N88" i="2"/>
  <c r="N96" i="2"/>
  <c r="N104" i="2"/>
  <c r="N112" i="2"/>
  <c r="N120" i="2"/>
  <c r="N3" i="2"/>
  <c r="N11" i="2"/>
  <c r="N19" i="2"/>
  <c r="N27" i="2"/>
  <c r="N35" i="2"/>
  <c r="N43" i="2"/>
  <c r="N51" i="2"/>
  <c r="N59" i="2"/>
  <c r="N67" i="2"/>
  <c r="N75" i="2"/>
  <c r="N83" i="2"/>
  <c r="N91" i="2"/>
  <c r="N99" i="2"/>
  <c r="N107" i="2"/>
  <c r="N115" i="2"/>
  <c r="N123" i="2"/>
  <c r="N4" i="2"/>
  <c r="N12" i="2"/>
  <c r="N20" i="2"/>
  <c r="N28" i="2"/>
  <c r="N36" i="2"/>
  <c r="N44" i="2"/>
  <c r="N52" i="2"/>
  <c r="N60" i="2"/>
  <c r="N68" i="2"/>
  <c r="N76" i="2"/>
  <c r="N84" i="2"/>
  <c r="N92" i="2"/>
  <c r="N100" i="2"/>
  <c r="N108" i="2"/>
  <c r="N116" i="2"/>
  <c r="N125" i="2" l="1"/>
  <c r="I5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A2A2F9F3-8203-4B66-B5E8-B2DED8917C7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B1" authorId="0" shapeId="0" xr:uid="{DC264DCA-BD0C-46B6-A1D0-366A6936E1ED}">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C1" authorId="0" shapeId="0" xr:uid="{FFB54C27-D44F-4007-819D-946D4688FCF6}">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K1" authorId="0" shapeId="0" xr:uid="{81127F8A-3269-4DA6-B963-369381056A6C}">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M1" authorId="0" shapeId="0" xr:uid="{6B938DB3-4BDE-4609-9B70-081C230BF006}">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T1" authorId="0" shapeId="0" xr:uid="{38B4E907-4294-458D-86E1-E3DD0830007E}">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X1" authorId="0" shapeId="0" xr:uid="{41BC400E-420D-4C28-AECA-475A47CEFE43}">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Y1" authorId="0" shapeId="0" xr:uid="{B3383906-C029-45CF-B875-0425D21E835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Z1" authorId="0" shapeId="0" xr:uid="{2720BBC6-DD45-4C94-AB59-5E9B9DB01E1C}">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AL1" authorId="0" shapeId="0" xr:uid="{0DCEC885-F0A1-484E-BBC8-ED242EC38A55}">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 ref="AV1" authorId="0" shapeId="0" xr:uid="{C553BE68-CD75-4C10-B039-1B2EA540732C}">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AW1" authorId="0" shapeId="0" xr:uid="{3E7B0ECD-7B80-42B9-AFC9-215383BAF484}">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AX1" authorId="0" shapeId="0" xr:uid="{6DD33FBE-CBB6-4814-B8D2-E030D4545D31}">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<sst xmlns="http://schemas.openxmlformats.org/spreadsheetml/2006/main" count="11184" uniqueCount="2084">
  <si>
    <t>occurrenceID</t>
  </si>
  <si>
    <t>basisOfRecord</t>
  </si>
  <si>
    <t>eventDate</t>
  </si>
  <si>
    <t>startDayOfYear</t>
  </si>
  <si>
    <t>endDayOfYear</t>
  </si>
  <si>
    <t>year</t>
  </si>
  <si>
    <t>month</t>
  </si>
  <si>
    <t>day</t>
  </si>
  <si>
    <t>verbatimEventDate</t>
  </si>
  <si>
    <t>scientificNameAuthorship</t>
  </si>
  <si>
    <t>scientificName</t>
  </si>
  <si>
    <t>higherClassification</t>
  </si>
  <si>
    <t>kingdom</t>
  </si>
  <si>
    <t>phylum</t>
  </si>
  <si>
    <t>class</t>
  </si>
  <si>
    <t>order</t>
  </si>
  <si>
    <t>family</t>
  </si>
  <si>
    <t>genus</t>
  </si>
  <si>
    <t>specificEpithet</t>
  </si>
  <si>
    <t>taxonRank</t>
  </si>
  <si>
    <t>vernacularName</t>
  </si>
  <si>
    <t>identifiedBy</t>
  </si>
  <si>
    <t>nomenclaturalCode</t>
  </si>
  <si>
    <t>decimalLatitude</t>
  </si>
  <si>
    <t>decimalLongitude</t>
  </si>
  <si>
    <t>geodeticDatum</t>
  </si>
  <si>
    <t>coordinateUncertaintyInMeters</t>
  </si>
  <si>
    <t>verbatimCoordinates</t>
  </si>
  <si>
    <t>verbatimCoordinateSystem</t>
  </si>
  <si>
    <t>georeferencedDate</t>
  </si>
  <si>
    <t>georeferenceProtocol</t>
  </si>
  <si>
    <t>georeferenceSources</t>
  </si>
  <si>
    <t>georeferenceVerificationStatus</t>
  </si>
  <si>
    <t>higherGeography</t>
  </si>
  <si>
    <t>continent</t>
  </si>
  <si>
    <t>island</t>
  </si>
  <si>
    <t>country</t>
  </si>
  <si>
    <t>countryCode</t>
  </si>
  <si>
    <t>stateProvince</t>
  </si>
  <si>
    <t>locality</t>
  </si>
  <si>
    <t>type</t>
  </si>
  <si>
    <t>language</t>
  </si>
  <si>
    <t>institutionID</t>
  </si>
  <si>
    <t>collectionCode</t>
  </si>
  <si>
    <t>catalogNumber</t>
  </si>
  <si>
    <t>sex</t>
  </si>
  <si>
    <t>organismID</t>
  </si>
  <si>
    <t>individualCount</t>
  </si>
  <si>
    <t>organismQuantity</t>
  </si>
  <si>
    <t>organismQuantityType</t>
  </si>
  <si>
    <t>samplingProtocol</t>
  </si>
  <si>
    <t>preparations</t>
  </si>
  <si>
    <t>lifeStage</t>
  </si>
  <si>
    <t>otherCatalogNumbers</t>
  </si>
  <si>
    <t>associatedMedia_1</t>
  </si>
  <si>
    <t>associatedMedia_2</t>
  </si>
  <si>
    <t>MZURORN2025-001</t>
  </si>
  <si>
    <t>PreservedSpecimen</t>
  </si>
  <si>
    <t>Linnaeus, 1758</t>
  </si>
  <si>
    <t>Animalia</t>
  </si>
  <si>
    <t>Chordata</t>
  </si>
  <si>
    <t>Aves</t>
  </si>
  <si>
    <t>Passeriformes</t>
  </si>
  <si>
    <t>Corvidae</t>
  </si>
  <si>
    <t>Garrulus</t>
  </si>
  <si>
    <t>glandarius</t>
  </si>
  <si>
    <t>Species</t>
  </si>
  <si>
    <t>Eurasian jay</t>
  </si>
  <si>
    <t>ICZN</t>
  </si>
  <si>
    <t>WGS84</t>
  </si>
  <si>
    <t>MaNIS georeferencing guidelines</t>
  </si>
  <si>
    <t>Google Maps</t>
  </si>
  <si>
    <t>verified by contributor</t>
  </si>
  <si>
    <t>Europa</t>
  </si>
  <si>
    <t>Italy</t>
  </si>
  <si>
    <t>Lazio</t>
  </si>
  <si>
    <t>Castelporziano</t>
  </si>
  <si>
    <t>ITA/ING</t>
  </si>
  <si>
    <t>MZUR</t>
  </si>
  <si>
    <t>ORN2025</t>
  </si>
  <si>
    <t>Male</t>
  </si>
  <si>
    <t>individuals</t>
  </si>
  <si>
    <t>field collection</t>
  </si>
  <si>
    <t>mounted specimen</t>
  </si>
  <si>
    <t>Adult</t>
  </si>
  <si>
    <t>MZURORN2025-002</t>
  </si>
  <si>
    <t>Linnaeus, 1766</t>
  </si>
  <si>
    <t>Pyrrhocorax</t>
  </si>
  <si>
    <t>graculus</t>
  </si>
  <si>
    <t>Alpine chough</t>
  </si>
  <si>
    <t>Piedmont</t>
  </si>
  <si>
    <t>Limone Piemonte</t>
  </si>
  <si>
    <t>Female</t>
  </si>
  <si>
    <t>Juvenile</t>
  </si>
  <si>
    <t>MZURORN2025-003</t>
  </si>
  <si>
    <t>Pica</t>
  </si>
  <si>
    <t>pica</t>
  </si>
  <si>
    <t>Eurasian magpie</t>
  </si>
  <si>
    <t>MZURORN2025-004</t>
  </si>
  <si>
    <t>Nucifraga</t>
  </si>
  <si>
    <t>caryocatactes</t>
  </si>
  <si>
    <t>Northern nutcracker</t>
  </si>
  <si>
    <t>Monte Scalambra</t>
  </si>
  <si>
    <t>MZURORN2025-005</t>
  </si>
  <si>
    <t>n.a.</t>
  </si>
  <si>
    <t>MZURORN2025-006</t>
  </si>
  <si>
    <t>MZURORN2025-007</t>
  </si>
  <si>
    <t>Lesson, 1839</t>
  </si>
  <si>
    <t>Apodiformes</t>
  </si>
  <si>
    <t>Trochilidae</t>
  </si>
  <si>
    <t>Eriocnemis</t>
  </si>
  <si>
    <t>vestita</t>
  </si>
  <si>
    <t>Glowing puffleg</t>
  </si>
  <si>
    <t>Venezuela</t>
  </si>
  <si>
    <t>MZURORN2025-008</t>
  </si>
  <si>
    <t>Pallas, 1764</t>
  </si>
  <si>
    <t>Psittaciformes</t>
  </si>
  <si>
    <t>Psittaculidae</t>
  </si>
  <si>
    <t>Trichoglossus</t>
  </si>
  <si>
    <t>moluccans</t>
  </si>
  <si>
    <t>Rainbow lorikeet</t>
  </si>
  <si>
    <t>Oceania</t>
  </si>
  <si>
    <t>Australia</t>
  </si>
  <si>
    <t>MZURORN2025-009</t>
  </si>
  <si>
    <t>Linnaeus, 1766</t>
  </si>
  <si>
    <t>Piciformes</t>
  </si>
  <si>
    <t>Ramphastidae</t>
  </si>
  <si>
    <t>Ramphastos</t>
  </si>
  <si>
    <t>dicolorus</t>
  </si>
  <si>
    <t>Red-breasted toucan</t>
  </si>
  <si>
    <t>Brazil</t>
  </si>
  <si>
    <t>MZURORN2025-010</t>
  </si>
  <si>
    <t>MZURORN2025-011</t>
  </si>
  <si>
    <t>Statius Müller, 1776</t>
  </si>
  <si>
    <t>Corvus</t>
  </si>
  <si>
    <t>albus</t>
  </si>
  <si>
    <t>Pied crow</t>
  </si>
  <si>
    <t>Africa</t>
  </si>
  <si>
    <t>Ethiopia</t>
  </si>
  <si>
    <t>Shewa</t>
  </si>
  <si>
    <t>MZURORN2025-012</t>
  </si>
  <si>
    <t>Vigors, 1825</t>
  </si>
  <si>
    <t>Hummingbird</t>
  </si>
  <si>
    <t>Equador</t>
  </si>
  <si>
    <t>MZURORN2025-013</t>
  </si>
  <si>
    <t>Viellot, 1817</t>
  </si>
  <si>
    <t>Passeridae</t>
  </si>
  <si>
    <t>Passer</t>
  </si>
  <si>
    <t>italiae</t>
  </si>
  <si>
    <t>Italian sparrow</t>
  </si>
  <si>
    <t>Veneto</t>
  </si>
  <si>
    <t>Padua</t>
  </si>
  <si>
    <t>MZURORN2025-014</t>
  </si>
  <si>
    <t>Rome</t>
  </si>
  <si>
    <t>MZURORN2025-015</t>
  </si>
  <si>
    <t>Paridae</t>
  </si>
  <si>
    <t>Parus</t>
  </si>
  <si>
    <t>major</t>
  </si>
  <si>
    <t>Great tit</t>
  </si>
  <si>
    <t>MZURORN2025-016</t>
  </si>
  <si>
    <t>Borgo San Dalmazzo</t>
  </si>
  <si>
    <t>MZURORN2025-017</t>
  </si>
  <si>
    <t>Picidae</t>
  </si>
  <si>
    <t>Dendrocopos</t>
  </si>
  <si>
    <t>Great spotted woodpecker</t>
  </si>
  <si>
    <t>MZURORN2025-018</t>
  </si>
  <si>
    <t>Ager Romanus</t>
  </si>
  <si>
    <t>MZURORN2025-019</t>
  </si>
  <si>
    <t>viridis</t>
  </si>
  <si>
    <t>European green woodpecker</t>
  </si>
  <si>
    <t>MZURORN2025-020</t>
  </si>
  <si>
    <t>torquilla</t>
  </si>
  <si>
    <t>Eurasian wryneck</t>
  </si>
  <si>
    <t>MZURORN2025-021</t>
  </si>
  <si>
    <t>montanus</t>
  </si>
  <si>
    <t>Eurasian tree sparrow</t>
  </si>
  <si>
    <t>MZURORN2025-022</t>
  </si>
  <si>
    <t>Muscicapidae</t>
  </si>
  <si>
    <t>rubecula</t>
  </si>
  <si>
    <t>European robin</t>
  </si>
  <si>
    <t>MZURORN2025-023</t>
  </si>
  <si>
    <t>Fringillinae</t>
  </si>
  <si>
    <t>coelebs</t>
  </si>
  <si>
    <t>Eurasian chaffinch</t>
  </si>
  <si>
    <t>MZURORN2025-024</t>
  </si>
  <si>
    <t>Oriolidae</t>
  </si>
  <si>
    <t>oriolus</t>
  </si>
  <si>
    <t>Eurasian golden oriole</t>
  </si>
  <si>
    <t>MZURORN2025-025</t>
  </si>
  <si>
    <t>Accipitriformes</t>
  </si>
  <si>
    <t>Accipitridae</t>
  </si>
  <si>
    <t>buteo</t>
  </si>
  <si>
    <t>Common buzzard</t>
  </si>
  <si>
    <t>Vernante</t>
  </si>
  <si>
    <t>MZURORN2025-026</t>
  </si>
  <si>
    <t>apivorus</t>
  </si>
  <si>
    <t>European honey buzzard</t>
  </si>
  <si>
    <t>MZURORN2025-027</t>
  </si>
  <si>
    <t>aeruginosus</t>
  </si>
  <si>
    <t>Western marsh harrier</t>
  </si>
  <si>
    <t>Selvazzano</t>
  </si>
  <si>
    <t>MZURORN2025-028</t>
  </si>
  <si>
    <t>Falconiformes</t>
  </si>
  <si>
    <t>Falconidae</t>
  </si>
  <si>
    <t>tinnunculus</t>
  </si>
  <si>
    <t>Common kestrel</t>
  </si>
  <si>
    <t>Cuneo</t>
  </si>
  <si>
    <t>MZURORN2025-029</t>
  </si>
  <si>
    <t>MZURORN2025-030</t>
  </si>
  <si>
    <t>nisus</t>
  </si>
  <si>
    <t>Eurasian sparrowhawk</t>
  </si>
  <si>
    <t>MZURORN2025-031</t>
  </si>
  <si>
    <t>Gruiformes</t>
  </si>
  <si>
    <t>Rallidae</t>
  </si>
  <si>
    <t>aquaticus</t>
  </si>
  <si>
    <t>Water rail</t>
  </si>
  <si>
    <t>MZURORN2025-032</t>
  </si>
  <si>
    <t>MZURORN2025-033</t>
  </si>
  <si>
    <t>atra</t>
  </si>
  <si>
    <t>Eurasian coot</t>
  </si>
  <si>
    <t>Pietraporzio</t>
  </si>
  <si>
    <t>MZURORN2025-034</t>
  </si>
  <si>
    <t>MZURORN2025-035</t>
  </si>
  <si>
    <t>chloropus</t>
  </si>
  <si>
    <t>Common moorhen</t>
  </si>
  <si>
    <t>MZURORN2025-036</t>
  </si>
  <si>
    <t>Podicipediformes</t>
  </si>
  <si>
    <t>Podicipedidae</t>
  </si>
  <si>
    <t>cristatus</t>
  </si>
  <si>
    <t>Great crested grebe</t>
  </si>
  <si>
    <t>MZURORN2025-037</t>
  </si>
  <si>
    <t>Pelecaniformes</t>
  </si>
  <si>
    <t>Ardeidae</t>
  </si>
  <si>
    <t>nycticorax</t>
  </si>
  <si>
    <t>Black-crowned night heron</t>
  </si>
  <si>
    <t>MZURORN2025-038</t>
  </si>
  <si>
    <t>purpurea</t>
  </si>
  <si>
    <t>Purple heron</t>
  </si>
  <si>
    <t>Battaglia Terme</t>
  </si>
  <si>
    <t>MZURORN2025-039</t>
  </si>
  <si>
    <t>Scopoli, 1769</t>
  </si>
  <si>
    <t>Strigiformes</t>
  </si>
  <si>
    <t>Strigidae</t>
  </si>
  <si>
    <t>noctua</t>
  </si>
  <si>
    <t>Little owl</t>
  </si>
  <si>
    <t>MZURORN2025-040</t>
  </si>
  <si>
    <t>bubo</t>
  </si>
  <si>
    <t>Eurasian eagle-owl</t>
  </si>
  <si>
    <t>MZURORN2025-041</t>
  </si>
  <si>
    <t>MZURORN2025-042</t>
  </si>
  <si>
    <t>aluco</t>
  </si>
  <si>
    <t>Tawny owl</t>
  </si>
  <si>
    <t>Ostia</t>
  </si>
  <si>
    <t>MZURORN2025-043</t>
  </si>
  <si>
    <t>scops</t>
  </si>
  <si>
    <t>Eurasian scops owl</t>
  </si>
  <si>
    <t>MZURORN2025-044</t>
  </si>
  <si>
    <t>MZURORN2025-045</t>
  </si>
  <si>
    <t>MZURORN2025-046</t>
  </si>
  <si>
    <t>Anseriformes</t>
  </si>
  <si>
    <t>Anatidae</t>
  </si>
  <si>
    <t>penelope</t>
  </si>
  <si>
    <t>Eurasian wigeon</t>
  </si>
  <si>
    <t>MZURORN2025-047</t>
  </si>
  <si>
    <t>MZURORN2025-048</t>
  </si>
  <si>
    <t>ferina</t>
  </si>
  <si>
    <t>Common pochard</t>
  </si>
  <si>
    <t>MZURORN2025-049</t>
  </si>
  <si>
    <t>crecca</t>
  </si>
  <si>
    <t>Eurasian teal</t>
  </si>
  <si>
    <t>MZURORN2025-050</t>
  </si>
  <si>
    <t>querquedula</t>
  </si>
  <si>
    <t>Garganey</t>
  </si>
  <si>
    <t>Tarquinia</t>
  </si>
  <si>
    <t>MZURORN2025-051</t>
  </si>
  <si>
    <t>MZURORN2025-052</t>
  </si>
  <si>
    <t>clypeata</t>
  </si>
  <si>
    <t>Northern shoveler</t>
  </si>
  <si>
    <t>MZURORN2025-053</t>
  </si>
  <si>
    <t>platyrhynchos</t>
  </si>
  <si>
    <t>Mallard</t>
  </si>
  <si>
    <t>MZURORN2025-054</t>
  </si>
  <si>
    <t>Guldenstadt, 1770</t>
  </si>
  <si>
    <t>nyroca</t>
  </si>
  <si>
    <t>Ferruginous duck</t>
  </si>
  <si>
    <t>MZURORN2025-055</t>
  </si>
  <si>
    <t>acuta</t>
  </si>
  <si>
    <t>Northern pintail</t>
  </si>
  <si>
    <t>MZURORN2025-056</t>
  </si>
  <si>
    <t>Pontine Marshes</t>
  </si>
  <si>
    <t>MZURORN2025-057</t>
  </si>
  <si>
    <t>MZURORN2025-059</t>
  </si>
  <si>
    <t>Temminck, 1815</t>
  </si>
  <si>
    <t>Tinamiformes</t>
  </si>
  <si>
    <t>Tinamidae</t>
  </si>
  <si>
    <t>rufescens</t>
  </si>
  <si>
    <t>Red-winged tinamou</t>
  </si>
  <si>
    <t>CentralAmerica</t>
  </si>
  <si>
    <t>MZURORN2025-060</t>
  </si>
  <si>
    <t>Galliformes</t>
  </si>
  <si>
    <t>Phasianidae</t>
  </si>
  <si>
    <t>MZURORN2025-061</t>
  </si>
  <si>
    <t>serrator</t>
  </si>
  <si>
    <t>Red-breasted merganser</t>
  </si>
  <si>
    <t>Maccarese</t>
  </si>
  <si>
    <t>MZURORN2025-062</t>
  </si>
  <si>
    <t>albellus</t>
  </si>
  <si>
    <t>Smew</t>
  </si>
  <si>
    <t>Valle Morosina</t>
  </si>
  <si>
    <t>MZURORN2025-063</t>
  </si>
  <si>
    <t>Casale Monferrato</t>
  </si>
  <si>
    <t>MZURORN2025-064</t>
  </si>
  <si>
    <t>Guldenstadt, 1770</t>
  </si>
  <si>
    <t>Valle Millecampi</t>
  </si>
  <si>
    <t>MZURORN2025-065</t>
  </si>
  <si>
    <t>28/01/1890</t>
  </si>
  <si>
    <t>Pallas, 1773</t>
  </si>
  <si>
    <t>rufina</t>
  </si>
  <si>
    <t>Red-crested pochard</t>
  </si>
  <si>
    <t>MZURORN2025-066</t>
  </si>
  <si>
    <t>MZURORN2025-067</t>
  </si>
  <si>
    <t>03/12/1895</t>
  </si>
  <si>
    <t>MZURORN2025-068</t>
  </si>
  <si>
    <t>MZURORN2025-069</t>
  </si>
  <si>
    <t>MZURORN2025-070</t>
  </si>
  <si>
    <t>ruficollis</t>
  </si>
  <si>
    <t>Little grebe</t>
  </si>
  <si>
    <t>MZURORN2025-071</t>
  </si>
  <si>
    <t>Pontoppidan, 1763</t>
  </si>
  <si>
    <t>Gaviiformes</t>
  </si>
  <si>
    <t>Gaviidae</t>
  </si>
  <si>
    <t>stellata</t>
  </si>
  <si>
    <t>Red-throated loon</t>
  </si>
  <si>
    <t>MZURORN2025-072</t>
  </si>
  <si>
    <t>Brehm, 1831</t>
  </si>
  <si>
    <t>nigricollis</t>
  </si>
  <si>
    <t>Black-necked grebe</t>
  </si>
  <si>
    <t>MZURORN2025-073</t>
  </si>
  <si>
    <t>MZURORN2025-074</t>
  </si>
  <si>
    <t>MZURORN2025-075</t>
  </si>
  <si>
    <t>Saline di Tarquinia</t>
  </si>
  <si>
    <t>MZURORN2025-076</t>
  </si>
  <si>
    <t>MZURORN2025-077</t>
  </si>
  <si>
    <t>MZURORN2025-078</t>
  </si>
  <si>
    <t>MZURORN2025-079</t>
  </si>
  <si>
    <t>MZURORN2025-080</t>
  </si>
  <si>
    <t>MZURORN2025-081</t>
  </si>
  <si>
    <t>MZURORN2025-082</t>
  </si>
  <si>
    <t>MZURORN2025-083</t>
  </si>
  <si>
    <t>garzetta</t>
  </si>
  <si>
    <t>Little egret</t>
  </si>
  <si>
    <t>MZURORN2025-084</t>
  </si>
  <si>
    <t>alba</t>
  </si>
  <si>
    <t>Great egret</t>
  </si>
  <si>
    <t>MZURORN2025-085</t>
  </si>
  <si>
    <t>Ciconiiformes</t>
  </si>
  <si>
    <t>stellaris</t>
  </si>
  <si>
    <t>Eurasian bittern</t>
  </si>
  <si>
    <t>Fusina</t>
  </si>
  <si>
    <t>MZURORN2025-086</t>
  </si>
  <si>
    <t>Roccasparvera</t>
  </si>
  <si>
    <t>MZURORN2025-087</t>
  </si>
  <si>
    <t>MZURORN2025-088</t>
  </si>
  <si>
    <t>Threskiornithidae</t>
  </si>
  <si>
    <t>falcinellus</t>
  </si>
  <si>
    <t>Glossy ibis</t>
  </si>
  <si>
    <t>Tivoli</t>
  </si>
  <si>
    <t>MZURORN2025-089</t>
  </si>
  <si>
    <t>Suliformes</t>
  </si>
  <si>
    <t>Phalacrocoracidae</t>
  </si>
  <si>
    <t>carbo</t>
  </si>
  <si>
    <t>Great cormorant</t>
  </si>
  <si>
    <t>MZURORN2025-090</t>
  </si>
  <si>
    <t>MZURORN2025-091</t>
  </si>
  <si>
    <t>MZURORN2025-092</t>
  </si>
  <si>
    <t>albifrons</t>
  </si>
  <si>
    <t>Greater white-fronted goose</t>
  </si>
  <si>
    <t>MZURORN2025-093</t>
  </si>
  <si>
    <t>Roccavione</t>
  </si>
  <si>
    <t>MZURORN2025-094</t>
  </si>
  <si>
    <t>MZURORN2025-095</t>
  </si>
  <si>
    <t>Charadriiformes</t>
  </si>
  <si>
    <t>Recurvirostridae</t>
  </si>
  <si>
    <t>avosetta</t>
  </si>
  <si>
    <t>Pied avocet</t>
  </si>
  <si>
    <t>MZURORN2025-096</t>
  </si>
  <si>
    <t>Fiumicino</t>
  </si>
  <si>
    <t>MZURORN2025-097</t>
  </si>
  <si>
    <t>himantopus</t>
  </si>
  <si>
    <t>Black-winged stilt</t>
  </si>
  <si>
    <t>MZURORN2025-098</t>
  </si>
  <si>
    <t>Scopoli, 1786</t>
  </si>
  <si>
    <t>Charadriidae</t>
  </si>
  <si>
    <t>dubius</t>
  </si>
  <si>
    <t>Little ringed plover</t>
  </si>
  <si>
    <t>MZURORN2025-099</t>
  </si>
  <si>
    <t>hiaticula</t>
  </si>
  <si>
    <t>Common ringed plover</t>
  </si>
  <si>
    <t>MZURORN2025-100</t>
  </si>
  <si>
    <t>vanellus</t>
  </si>
  <si>
    <t>Northern lapwing</t>
  </si>
  <si>
    <t>MZURORN2025-101</t>
  </si>
  <si>
    <t>apricaria</t>
  </si>
  <si>
    <t>European golden plover</t>
  </si>
  <si>
    <t>MZURORN2025-102</t>
  </si>
  <si>
    <t>Scolopacidae</t>
  </si>
  <si>
    <t>pugnax</t>
  </si>
  <si>
    <t>Ruff</t>
  </si>
  <si>
    <t>MZURORN2025-103</t>
  </si>
  <si>
    <t>MZURORN2025-104</t>
  </si>
  <si>
    <t>MZURORN2025-105</t>
  </si>
  <si>
    <t>MZURORN2025-106</t>
  </si>
  <si>
    <t>Latham, 1787</t>
  </si>
  <si>
    <t>media</t>
  </si>
  <si>
    <t>Great snipe</t>
  </si>
  <si>
    <t>MZURORN2025-107</t>
  </si>
  <si>
    <t>rusticola</t>
  </si>
  <si>
    <t>Eurasian woodcock</t>
  </si>
  <si>
    <t>MZURORN2025-108</t>
  </si>
  <si>
    <t>gallinago</t>
  </si>
  <si>
    <t>Common snipe</t>
  </si>
  <si>
    <t>MZURORN2025-109</t>
  </si>
  <si>
    <t>Leisler, 1812</t>
  </si>
  <si>
    <t>minuta</t>
  </si>
  <si>
    <t>Little stint</t>
  </si>
  <si>
    <t>MZURORN2025-110</t>
  </si>
  <si>
    <t>MZURORN2025-111</t>
  </si>
  <si>
    <t>totanus</t>
  </si>
  <si>
    <t>Common redshank</t>
  </si>
  <si>
    <t>MZURORN2025-112</t>
  </si>
  <si>
    <t>arquata</t>
  </si>
  <si>
    <t>Eurasian curlew</t>
  </si>
  <si>
    <t>MZURORN2025-113</t>
  </si>
  <si>
    <t>erythropus</t>
  </si>
  <si>
    <t>Spotted redshank</t>
  </si>
  <si>
    <t>MZURORN2025-114</t>
  </si>
  <si>
    <t xml:space="preserve">glareola  </t>
  </si>
  <si>
    <t>Wood sandpiper</t>
  </si>
  <si>
    <t>MZURORN2025-115</t>
  </si>
  <si>
    <t>hypoleucos</t>
  </si>
  <si>
    <t>Common sandpiper</t>
  </si>
  <si>
    <t>MZURORN2025-116</t>
  </si>
  <si>
    <t>MZURORN2025-117</t>
  </si>
  <si>
    <t>limosa</t>
  </si>
  <si>
    <t>Black-tailed godwit</t>
  </si>
  <si>
    <t>MZURORN2025-118</t>
  </si>
  <si>
    <t>Gunnerus, 1767</t>
  </si>
  <si>
    <t>nebularia</t>
  </si>
  <si>
    <t>Common greenshank</t>
  </si>
  <si>
    <t>MZURORN2025-119</t>
  </si>
  <si>
    <t>Nestling</t>
  </si>
  <si>
    <t>MZURORN2025-120</t>
  </si>
  <si>
    <t>Valdieri</t>
  </si>
  <si>
    <t>MZURORN2025-121</t>
  </si>
  <si>
    <t>MZURORN2025-122</t>
  </si>
  <si>
    <t>MZURORN2025-123</t>
  </si>
  <si>
    <t>subbuteo</t>
  </si>
  <si>
    <t>Eurasian hobby</t>
  </si>
  <si>
    <t>Zannone Island</t>
  </si>
  <si>
    <t>MZURORN2025-124</t>
  </si>
  <si>
    <t>MZURORN2025-125</t>
  </si>
  <si>
    <t>MZURORN2025-126</t>
  </si>
  <si>
    <t>Fleischer, 1818</t>
  </si>
  <si>
    <t>naumanni</t>
  </si>
  <si>
    <t>Lesser kestrel</t>
  </si>
  <si>
    <t>MZURORN2025-127</t>
  </si>
  <si>
    <t>Montin, 1781</t>
  </si>
  <si>
    <t>muta</t>
  </si>
  <si>
    <t>Rock ptarmigan</t>
  </si>
  <si>
    <t>Palanfrè</t>
  </si>
  <si>
    <t>MZURORN2025-128</t>
  </si>
  <si>
    <t>S. Anna di Vinadio</t>
  </si>
  <si>
    <t>MZURORN2025-129</t>
  </si>
  <si>
    <t>Meisner, 1804</t>
  </si>
  <si>
    <t>graeca</t>
  </si>
  <si>
    <t>Rock partridge</t>
  </si>
  <si>
    <t>MZURORN2025-130</t>
  </si>
  <si>
    <t>MZURORN2025-131</t>
  </si>
  <si>
    <t>Vinadio</t>
  </si>
  <si>
    <t>MZURORN2025-132</t>
  </si>
  <si>
    <t>perdix</t>
  </si>
  <si>
    <t>Grey partridge</t>
  </si>
  <si>
    <t>MZURORN2025-133</t>
  </si>
  <si>
    <t>coturnix</t>
  </si>
  <si>
    <t>Common quail</t>
  </si>
  <si>
    <t>MZURORN2025-134</t>
  </si>
  <si>
    <t>MZURORN2025-135</t>
  </si>
  <si>
    <t>MZURORN2025-136</t>
  </si>
  <si>
    <t>MZURORN2025-137</t>
  </si>
  <si>
    <t>Costigliole Saluzzo</t>
  </si>
  <si>
    <t>MZURORN2025-138</t>
  </si>
  <si>
    <t>MZURORN2025-139</t>
  </si>
  <si>
    <t>MZURORN2025-140</t>
  </si>
  <si>
    <t>MZURORN2025-141</t>
  </si>
  <si>
    <t>MZURORN2025-142</t>
  </si>
  <si>
    <t>Certosa di Pesio</t>
  </si>
  <si>
    <t>MZURORN2025-143</t>
  </si>
  <si>
    <t>milvus</t>
  </si>
  <si>
    <t>Red kite</t>
  </si>
  <si>
    <t>MZURORN2025-144</t>
  </si>
  <si>
    <t>Boddaert, 1783</t>
  </si>
  <si>
    <t>migrans</t>
  </si>
  <si>
    <t>Black kite</t>
  </si>
  <si>
    <t>Basilicata</t>
  </si>
  <si>
    <t>Policoro</t>
  </si>
  <si>
    <t>MZURORN2025-145</t>
  </si>
  <si>
    <t>cyaneus</t>
  </si>
  <si>
    <t>Hen harrier</t>
  </si>
  <si>
    <t>France</t>
  </si>
  <si>
    <t>Saint-Dalmas-de-Tende</t>
  </si>
  <si>
    <t>MZURORN2025-146</t>
  </si>
  <si>
    <t>Dronero</t>
  </si>
  <si>
    <t>MZURORN2025-147</t>
  </si>
  <si>
    <t>gentilis</t>
  </si>
  <si>
    <t>Eurasian goshawk</t>
  </si>
  <si>
    <t>MZURORN2025-148</t>
  </si>
  <si>
    <t>MZURORN2025-149</t>
  </si>
  <si>
    <t>05/01/1890</t>
  </si>
  <si>
    <t>Casal de' Pazzi</t>
  </si>
  <si>
    <t>MZURORN2025-150</t>
  </si>
  <si>
    <t>Robilante</t>
  </si>
  <si>
    <t>MZURORN2025-151</t>
  </si>
  <si>
    <t>chrysaetos</t>
  </si>
  <si>
    <t>Golden eagle</t>
  </si>
  <si>
    <t>MZURORN2025-152</t>
  </si>
  <si>
    <t>MZURORN2025-153</t>
  </si>
  <si>
    <t>Caprimulgiformes</t>
  </si>
  <si>
    <t>Caprimulgidae</t>
  </si>
  <si>
    <t>europaeus</t>
  </si>
  <si>
    <t>European nightjar</t>
  </si>
  <si>
    <t>MZURORN2025-154</t>
  </si>
  <si>
    <t>MZURORN2025-155</t>
  </si>
  <si>
    <t>MZURORN2025-156</t>
  </si>
  <si>
    <t>Cuculiformes</t>
  </si>
  <si>
    <t>Cuculidae</t>
  </si>
  <si>
    <t>canorus</t>
  </si>
  <si>
    <t>Common cuckoo</t>
  </si>
  <si>
    <t>MZURORN2025-157</t>
  </si>
  <si>
    <t>MZURORN2025-158</t>
  </si>
  <si>
    <t>Furbara</t>
  </si>
  <si>
    <t>MZURORN2025-159</t>
  </si>
  <si>
    <t>Columbiformes</t>
  </si>
  <si>
    <t>Columbidae</t>
  </si>
  <si>
    <t>turtur</t>
  </si>
  <si>
    <t>European turtle dove</t>
  </si>
  <si>
    <t>MZURORN2025-160</t>
  </si>
  <si>
    <t>MZURORN2025-161</t>
  </si>
  <si>
    <t>palumbus</t>
  </si>
  <si>
    <t>Common wood pigeon</t>
  </si>
  <si>
    <t>MZURORN2025-162</t>
  </si>
  <si>
    <t>Pallas, 1764</t>
  </si>
  <si>
    <t>Laridae</t>
  </si>
  <si>
    <t>Little tern</t>
  </si>
  <si>
    <t>MZURORN2025-163</t>
  </si>
  <si>
    <t>MZURORN2025-164</t>
  </si>
  <si>
    <t>niger</t>
  </si>
  <si>
    <t>Black tern</t>
  </si>
  <si>
    <t>MZURORN2025-165</t>
  </si>
  <si>
    <t>Chioggia</t>
  </si>
  <si>
    <t>MZURORN2025-166</t>
  </si>
  <si>
    <t>ridibundus</t>
  </si>
  <si>
    <t>Black-headed gull</t>
  </si>
  <si>
    <t>MZURORN2025-167</t>
  </si>
  <si>
    <t>Pallas, 1776</t>
  </si>
  <si>
    <t>minutus</t>
  </si>
  <si>
    <t>Little gull</t>
  </si>
  <si>
    <t>Jesolo</t>
  </si>
  <si>
    <t>MZURORN2025-168</t>
  </si>
  <si>
    <t>tridactyla</t>
  </si>
  <si>
    <t>Black-legged kittiwake</t>
  </si>
  <si>
    <t>Nettuno</t>
  </si>
  <si>
    <t>MZURORN2025-169</t>
  </si>
  <si>
    <t>02/02/1895</t>
  </si>
  <si>
    <t>Temminck, 1820</t>
  </si>
  <si>
    <t>melanocephalus</t>
  </si>
  <si>
    <t>Mediterranean gull</t>
  </si>
  <si>
    <t>MZURORN2025-170</t>
  </si>
  <si>
    <t>MZURORN2025-171</t>
  </si>
  <si>
    <t>Scopoli, 1769</t>
  </si>
  <si>
    <t>Tytonidae</t>
  </si>
  <si>
    <t>Western barn owl</t>
  </si>
  <si>
    <t>MZURORN2025-172</t>
  </si>
  <si>
    <t>Andonno</t>
  </si>
  <si>
    <t>MZURORN2025-173</t>
  </si>
  <si>
    <t>Bernezzo</t>
  </si>
  <si>
    <t>MZURORN2025-174</t>
  </si>
  <si>
    <t>passerinum</t>
  </si>
  <si>
    <t>Eurasian pygmy owl</t>
  </si>
  <si>
    <t>MZURORN2025-175</t>
  </si>
  <si>
    <t>Confreria</t>
  </si>
  <si>
    <t>MZURORN2025-176</t>
  </si>
  <si>
    <t>flammeus</t>
  </si>
  <si>
    <t>Short-eared owl</t>
  </si>
  <si>
    <t>MZURORN2025-177</t>
  </si>
  <si>
    <t>MZURORN2025-178</t>
  </si>
  <si>
    <t>otus</t>
  </si>
  <si>
    <t>Long-eared owl</t>
  </si>
  <si>
    <t>MZURORN2025-179</t>
  </si>
  <si>
    <t>Apodidae</t>
  </si>
  <si>
    <t>apus</t>
  </si>
  <si>
    <t>Common swift</t>
  </si>
  <si>
    <t>MZURORN2025-180</t>
  </si>
  <si>
    <t>Bucerotiformes</t>
  </si>
  <si>
    <t>Upupidae</t>
  </si>
  <si>
    <t>epops</t>
  </si>
  <si>
    <t>Eurasian hoopoe</t>
  </si>
  <si>
    <t>MZURORN2025-181</t>
  </si>
  <si>
    <t>MZURORN2025-182</t>
  </si>
  <si>
    <t>MZURORN2025-183</t>
  </si>
  <si>
    <t>Coraciiformes</t>
  </si>
  <si>
    <t>Coraciidae</t>
  </si>
  <si>
    <t>garrulus</t>
  </si>
  <si>
    <t>European roller</t>
  </si>
  <si>
    <t>MZURORN2025-184</t>
  </si>
  <si>
    <t>MZURORN2025-185</t>
  </si>
  <si>
    <t>Meropidae</t>
  </si>
  <si>
    <t>apiaster</t>
  </si>
  <si>
    <t>European bee-eater</t>
  </si>
  <si>
    <t>MZURORN2025-186</t>
  </si>
  <si>
    <t>Alcedinidae</t>
  </si>
  <si>
    <t>atthis</t>
  </si>
  <si>
    <t>Common kingfisher</t>
  </si>
  <si>
    <t>MZURORN2025-187</t>
  </si>
  <si>
    <t>MZURORN2025-188</t>
  </si>
  <si>
    <t>phoenicurus</t>
  </si>
  <si>
    <t>Common redstart</t>
  </si>
  <si>
    <t>MZURORN2025-189</t>
  </si>
  <si>
    <t>Sambuci</t>
  </si>
  <si>
    <t>MZURORN2025-190</t>
  </si>
  <si>
    <t>Gmelin, 1774</t>
  </si>
  <si>
    <t>ochruros</t>
  </si>
  <si>
    <t>Black redstart</t>
  </si>
  <si>
    <t>MZURORN2025-191</t>
  </si>
  <si>
    <t>MZURORN2025-192</t>
  </si>
  <si>
    <t>megarhynchos</t>
  </si>
  <si>
    <t>Common nightingale</t>
  </si>
  <si>
    <t>MZURORN2025-193</t>
  </si>
  <si>
    <t>MZURORN2025-194</t>
  </si>
  <si>
    <t>Troglodytidae</t>
  </si>
  <si>
    <t>troglodytes</t>
  </si>
  <si>
    <t>Eurasian wren</t>
  </si>
  <si>
    <t>MZURORN2025-195</t>
  </si>
  <si>
    <t>MZURORN2025-196</t>
  </si>
  <si>
    <t>Cinclidae</t>
  </si>
  <si>
    <t>cinclus</t>
  </si>
  <si>
    <t>White-throated dipper</t>
  </si>
  <si>
    <t>MZURORN2025-197</t>
  </si>
  <si>
    <t>MZURORN2025-198</t>
  </si>
  <si>
    <t>Prunellidae</t>
  </si>
  <si>
    <t>modularis</t>
  </si>
  <si>
    <t>Dunnock</t>
  </si>
  <si>
    <t>MZURORN2025-199</t>
  </si>
  <si>
    <t>Motacillidae</t>
  </si>
  <si>
    <t>White wagtail</t>
  </si>
  <si>
    <t>MZURORN2025-200</t>
  </si>
  <si>
    <t>Tunstall, 1771</t>
  </si>
  <si>
    <t>cinerea</t>
  </si>
  <si>
    <t>Grey wagtail</t>
  </si>
  <si>
    <t>MZURORN2025-201</t>
  </si>
  <si>
    <t>MZURORN2025-202</t>
  </si>
  <si>
    <t>MZURORN2025-203</t>
  </si>
  <si>
    <t>Alaudidae</t>
  </si>
  <si>
    <t>cristata</t>
  </si>
  <si>
    <t>Crested lark</t>
  </si>
  <si>
    <t>MZURORN2025-204</t>
  </si>
  <si>
    <t>trivialis</t>
  </si>
  <si>
    <t>Tree pipit</t>
  </si>
  <si>
    <t>MZURORN2025-205</t>
  </si>
  <si>
    <t>Hirundinidae</t>
  </si>
  <si>
    <t>rustica</t>
  </si>
  <si>
    <t>Barn swallow</t>
  </si>
  <si>
    <t>MZURORN2025-206</t>
  </si>
  <si>
    <t>Aegithalidae</t>
  </si>
  <si>
    <t>arvensis</t>
  </si>
  <si>
    <t>Eurasian skylark</t>
  </si>
  <si>
    <t>MZURORN2025-207</t>
  </si>
  <si>
    <t>MZURORN2025-208</t>
  </si>
  <si>
    <t>MZURORN2025-209</t>
  </si>
  <si>
    <t>MZURORN2025-210</t>
  </si>
  <si>
    <t>Castelletto Stura</t>
  </si>
  <si>
    <t>MZURORN2025-211</t>
  </si>
  <si>
    <t>Lesser spotted woodpecker</t>
  </si>
  <si>
    <t>MZURORN2025-212</t>
  </si>
  <si>
    <t>Fontanelle di Boves</t>
  </si>
  <si>
    <t>MZURORN2025-213</t>
  </si>
  <si>
    <t>MZURORN2025-214</t>
  </si>
  <si>
    <t>MZURORN2025-215</t>
  </si>
  <si>
    <t>Piano Quinto</t>
  </si>
  <si>
    <t>MZURORN2025-216</t>
  </si>
  <si>
    <t>Turdidae</t>
  </si>
  <si>
    <t>merula</t>
  </si>
  <si>
    <t>Common blackbird</t>
  </si>
  <si>
    <t>MZURORN2025-217</t>
  </si>
  <si>
    <t>torquatus</t>
  </si>
  <si>
    <t>Ring ouzel</t>
  </si>
  <si>
    <t>MZURORN2025-218</t>
  </si>
  <si>
    <t>iliacus</t>
  </si>
  <si>
    <t>Redwing</t>
  </si>
  <si>
    <t>MZURORN2025-219</t>
  </si>
  <si>
    <t>MZURORN2025-220</t>
  </si>
  <si>
    <t>MZURORN2025-221</t>
  </si>
  <si>
    <t>Brehm, 1831</t>
  </si>
  <si>
    <t>philomelos</t>
  </si>
  <si>
    <t>Song thrush</t>
  </si>
  <si>
    <t>Pietra Pertusa</t>
  </si>
  <si>
    <t>MZURORN2025-222</t>
  </si>
  <si>
    <t>MZURORN2025-223</t>
  </si>
  <si>
    <t>oenanthe</t>
  </si>
  <si>
    <t>Northern wheatear</t>
  </si>
  <si>
    <t>MZURORN2025-224</t>
  </si>
  <si>
    <t>solitarius</t>
  </si>
  <si>
    <t>Blue rock thrush</t>
  </si>
  <si>
    <t>MZURORN2025-225</t>
  </si>
  <si>
    <t>African stonechat</t>
  </si>
  <si>
    <t>MZURORN2025-226</t>
  </si>
  <si>
    <t>rubetra</t>
  </si>
  <si>
    <t>Whinchat</t>
  </si>
  <si>
    <t>Apulia</t>
  </si>
  <si>
    <t>Ostuni</t>
  </si>
  <si>
    <t>MZURORN2025-227</t>
  </si>
  <si>
    <t>Eastern subalpine warbler</t>
  </si>
  <si>
    <t>MZURORN2025-228</t>
  </si>
  <si>
    <t>Gmelin, 1789</t>
  </si>
  <si>
    <t>Sylviidae</t>
  </si>
  <si>
    <t>hortensis</t>
  </si>
  <si>
    <t>Western Orphean warbler</t>
  </si>
  <si>
    <t>MZURORN2025-229</t>
  </si>
  <si>
    <t>borin</t>
  </si>
  <si>
    <t>Garden warbler</t>
  </si>
  <si>
    <t>MZURORN2025-230</t>
  </si>
  <si>
    <t>MZURORN2025-231</t>
  </si>
  <si>
    <t>Bechstein, 1793</t>
  </si>
  <si>
    <t>Phylloscopidae</t>
  </si>
  <si>
    <t>sibilatrix</t>
  </si>
  <si>
    <t>Wood warbler</t>
  </si>
  <si>
    <t>MZURORN2025-232</t>
  </si>
  <si>
    <t>Regulidae</t>
  </si>
  <si>
    <t>regulus</t>
  </si>
  <si>
    <t>Goldcrest</t>
  </si>
  <si>
    <t>MZURORN2025-233</t>
  </si>
  <si>
    <t>Temminck, 1820</t>
  </si>
  <si>
    <t>Cettiidae</t>
  </si>
  <si>
    <t>cetti</t>
  </si>
  <si>
    <t>Cetti's warbler</t>
  </si>
  <si>
    <t>Sutri</t>
  </si>
  <si>
    <t>MZURORN2025-234</t>
  </si>
  <si>
    <t>MZURORN2025-235</t>
  </si>
  <si>
    <t>atricapilla</t>
  </si>
  <si>
    <t>Eurasian blackcap</t>
  </si>
  <si>
    <t>MZURORN2025-236</t>
  </si>
  <si>
    <t>MZURORN2025-237</t>
  </si>
  <si>
    <t>MZURORN2025-238</t>
  </si>
  <si>
    <t>MZURORN2025-239</t>
  </si>
  <si>
    <t>MZURORN2025-240</t>
  </si>
  <si>
    <t>MZURORN2025-241</t>
  </si>
  <si>
    <t>MZURORN2025-242</t>
  </si>
  <si>
    <t>MZURORN2025-243</t>
  </si>
  <si>
    <t>Laniidae</t>
  </si>
  <si>
    <t>senator</t>
  </si>
  <si>
    <t>Woodchat shrike</t>
  </si>
  <si>
    <t>MZURORN2025-244</t>
  </si>
  <si>
    <t>Brehm, 1820</t>
  </si>
  <si>
    <t>Certhiidae</t>
  </si>
  <si>
    <t>brachydactyla</t>
  </si>
  <si>
    <t>Short-toed treecreeper</t>
  </si>
  <si>
    <t>MZURORN2025-245</t>
  </si>
  <si>
    <t>MZURORN2025-246</t>
  </si>
  <si>
    <t>MZURORN2025-247</t>
  </si>
  <si>
    <t>MZURORN2025-248</t>
  </si>
  <si>
    <t>MZURORN2025-249</t>
  </si>
  <si>
    <t>MZURORN2025-250</t>
  </si>
  <si>
    <t>MZURORN2025-251</t>
  </si>
  <si>
    <t>MZURORN2025-252</t>
  </si>
  <si>
    <t>MZURORN2025-253</t>
  </si>
  <si>
    <t>hypoleuca</t>
  </si>
  <si>
    <t>European pied flycatcher</t>
  </si>
  <si>
    <t>MZURORN2025-254</t>
  </si>
  <si>
    <t>caudatus</t>
  </si>
  <si>
    <t>Long-tailed tit</t>
  </si>
  <si>
    <t>MZURORN2025-255</t>
  </si>
  <si>
    <t>palustris</t>
  </si>
  <si>
    <t>Marsh tit</t>
  </si>
  <si>
    <t>MZURORN2025-256</t>
  </si>
  <si>
    <t>caeruleus</t>
  </si>
  <si>
    <t>Eurasian blue tit</t>
  </si>
  <si>
    <t>MZURORN2025-257</t>
  </si>
  <si>
    <t>Sittidae</t>
  </si>
  <si>
    <t>europaea</t>
  </si>
  <si>
    <t>Eurasian nuthatch</t>
  </si>
  <si>
    <t>MZURORN2025-258</t>
  </si>
  <si>
    <t>corax</t>
  </si>
  <si>
    <t>Common raven</t>
  </si>
  <si>
    <t>MZURORN2025-259</t>
  </si>
  <si>
    <t>frugilegus</t>
  </si>
  <si>
    <t>Rook</t>
  </si>
  <si>
    <t>MZURORN2025-260</t>
  </si>
  <si>
    <t>monedula</t>
  </si>
  <si>
    <t>Western jackdaw</t>
  </si>
  <si>
    <t>MZURORN2025-261</t>
  </si>
  <si>
    <t>MZURORN2025-262</t>
  </si>
  <si>
    <t>corone</t>
  </si>
  <si>
    <t>Carrion crow</t>
  </si>
  <si>
    <t>Demonte</t>
  </si>
  <si>
    <t>MZURORN2025-263</t>
  </si>
  <si>
    <t>MZURORN2025-264</t>
  </si>
  <si>
    <t>pyrrhocorax</t>
  </si>
  <si>
    <t>Red-billed chough</t>
  </si>
  <si>
    <t>MZURORN2025-265</t>
  </si>
  <si>
    <t>Marche</t>
  </si>
  <si>
    <t>Sibillini Mountains</t>
  </si>
  <si>
    <t>MZURORN2025-266</t>
  </si>
  <si>
    <t>Ferrere da Bersezio</t>
  </si>
  <si>
    <t>MZURORN2025-267</t>
  </si>
  <si>
    <t>MZURORN2025-268</t>
  </si>
  <si>
    <t>MZURORN2025-269</t>
  </si>
  <si>
    <t>MZURORN2025-270</t>
  </si>
  <si>
    <t>Fringillidae</t>
  </si>
  <si>
    <t>montifringilla</t>
  </si>
  <si>
    <t>Brambling</t>
  </si>
  <si>
    <t>MZURORN2025-271</t>
  </si>
  <si>
    <t>carduelis</t>
  </si>
  <si>
    <t>European goldfinch</t>
  </si>
  <si>
    <t>MZURORN2025-272</t>
  </si>
  <si>
    <t>cannabina</t>
  </si>
  <si>
    <t>Common linnet</t>
  </si>
  <si>
    <t>MZURORN2025-273</t>
  </si>
  <si>
    <t>serinus</t>
  </si>
  <si>
    <t>European serin</t>
  </si>
  <si>
    <t>Noventa Padovana</t>
  </si>
  <si>
    <t>MZURORN2025-274</t>
  </si>
  <si>
    <t>chloris</t>
  </si>
  <si>
    <t>European greenfinch</t>
  </si>
  <si>
    <t>MZURORN2025-275</t>
  </si>
  <si>
    <t>MZURORN2025-276</t>
  </si>
  <si>
    <t>curvirostra</t>
  </si>
  <si>
    <t>Red crossbill</t>
  </si>
  <si>
    <t>MZURORN2025-277</t>
  </si>
  <si>
    <t>pyrrhula</t>
  </si>
  <si>
    <t>Eurasian bullfinch</t>
  </si>
  <si>
    <t>MZURORN2025-278</t>
  </si>
  <si>
    <t>MZURORN2025-279</t>
  </si>
  <si>
    <t>Brisson, 1760</t>
  </si>
  <si>
    <t>coccothraustes</t>
  </si>
  <si>
    <t>Hawfinch</t>
  </si>
  <si>
    <t>MZURORN2025-280</t>
  </si>
  <si>
    <t>Boves</t>
  </si>
  <si>
    <t>MZURORN2025-281</t>
  </si>
  <si>
    <t>MZURORN2025-282</t>
  </si>
  <si>
    <t>MZURORN2025-283</t>
  </si>
  <si>
    <t>Sturnidae</t>
  </si>
  <si>
    <t>vulgaris</t>
  </si>
  <si>
    <t>Common starling</t>
  </si>
  <si>
    <t>MZURORN2025-284</t>
  </si>
  <si>
    <t>Civitavecchia</t>
  </si>
  <si>
    <t>MZURORN2025-285</t>
  </si>
  <si>
    <t>MZURORN2025-286</t>
  </si>
  <si>
    <t>MZURORN2025-287</t>
  </si>
  <si>
    <t>MZURORN2025-288</t>
  </si>
  <si>
    <t>roseus</t>
  </si>
  <si>
    <t>Rosy starling</t>
  </si>
  <si>
    <t>Verona</t>
  </si>
  <si>
    <t>MZURORN2025-289</t>
  </si>
  <si>
    <t>MZURORN2025-290</t>
  </si>
  <si>
    <t>MZURORN2025-291</t>
  </si>
  <si>
    <t>MZURORN2025-292</t>
  </si>
  <si>
    <t>MZURORN2025-293</t>
  </si>
  <si>
    <t>domesticus</t>
  </si>
  <si>
    <t>House sparrow</t>
  </si>
  <si>
    <t>MZURORN2025-294</t>
  </si>
  <si>
    <t>Moriglione</t>
  </si>
  <si>
    <t>MZURORN2025-295</t>
  </si>
  <si>
    <t>Emberizidae</t>
  </si>
  <si>
    <t>citrinella</t>
  </si>
  <si>
    <t>Yellowhammer</t>
  </si>
  <si>
    <t>MZURORN2025-296</t>
  </si>
  <si>
    <t>MZURORN2025-297</t>
  </si>
  <si>
    <t>MZURORN2025-298</t>
  </si>
  <si>
    <t>calandra</t>
  </si>
  <si>
    <t>Corn bunting</t>
  </si>
  <si>
    <t>Genus</t>
  </si>
  <si>
    <t>Convalida</t>
  </si>
  <si>
    <t>Numeri</t>
  </si>
  <si>
    <t>Order</t>
  </si>
  <si>
    <t>Family</t>
  </si>
  <si>
    <t>Trochilidaesp.</t>
  </si>
  <si>
    <t>Picus</t>
  </si>
  <si>
    <t>Jynx</t>
  </si>
  <si>
    <t>Erithacus</t>
  </si>
  <si>
    <t>Fringilla</t>
  </si>
  <si>
    <t>Oriolus</t>
  </si>
  <si>
    <t>Buteo</t>
  </si>
  <si>
    <t>Pernis</t>
  </si>
  <si>
    <t>Circus</t>
  </si>
  <si>
    <t>Falco</t>
  </si>
  <si>
    <t>Accipiter</t>
  </si>
  <si>
    <t>Rallus</t>
  </si>
  <si>
    <t>Fulica</t>
  </si>
  <si>
    <t>Gallinula</t>
  </si>
  <si>
    <t>Podiceps</t>
  </si>
  <si>
    <t>Nycticorax</t>
  </si>
  <si>
    <t>Ardea</t>
  </si>
  <si>
    <t>Athene</t>
  </si>
  <si>
    <t>Bubo</t>
  </si>
  <si>
    <t>Strix</t>
  </si>
  <si>
    <t>Otus</t>
  </si>
  <si>
    <t>Mareca</t>
  </si>
  <si>
    <t>Aythya</t>
  </si>
  <si>
    <t>Anas</t>
  </si>
  <si>
    <t>Spatula</t>
  </si>
  <si>
    <t>Eudyptes</t>
  </si>
  <si>
    <t>Rhynchotus</t>
  </si>
  <si>
    <t>Alectoris</t>
  </si>
  <si>
    <t>Mergus</t>
  </si>
  <si>
    <t>Mergellus</t>
  </si>
  <si>
    <t>Netta</t>
  </si>
  <si>
    <t>Tachybaptus</t>
  </si>
  <si>
    <t>Gavia</t>
  </si>
  <si>
    <t>Egretta</t>
  </si>
  <si>
    <t>Botaurus</t>
  </si>
  <si>
    <t>Plegadis</t>
  </si>
  <si>
    <t>Phalacrocorax</t>
  </si>
  <si>
    <t>Anser</t>
  </si>
  <si>
    <t>Recurvirostra</t>
  </si>
  <si>
    <t>Himantopus</t>
  </si>
  <si>
    <t>Charadrius</t>
  </si>
  <si>
    <t>Vanellus</t>
  </si>
  <si>
    <t>Pluvialis</t>
  </si>
  <si>
    <t>Calidris</t>
  </si>
  <si>
    <t>Gallinago</t>
  </si>
  <si>
    <t>Scolopax</t>
  </si>
  <si>
    <t>Tringa</t>
  </si>
  <si>
    <t>Numenius</t>
  </si>
  <si>
    <t>Actitis</t>
  </si>
  <si>
    <t>Limosa</t>
  </si>
  <si>
    <t>Lagopus</t>
  </si>
  <si>
    <t>Perdix</t>
  </si>
  <si>
    <t>Coturnix</t>
  </si>
  <si>
    <t>Milvus</t>
  </si>
  <si>
    <t>Astur</t>
  </si>
  <si>
    <t>Aquila</t>
  </si>
  <si>
    <t>Caprimulgus</t>
  </si>
  <si>
    <t>Cuculus</t>
  </si>
  <si>
    <t>Streptopelia</t>
  </si>
  <si>
    <t>Columba</t>
  </si>
  <si>
    <t>Sternula</t>
  </si>
  <si>
    <t>Chlidonias</t>
  </si>
  <si>
    <t>Chroicocephalus</t>
  </si>
  <si>
    <t>Hydrocoloeus</t>
  </si>
  <si>
    <t>Rissa</t>
  </si>
  <si>
    <t>Ichthyaetus</t>
  </si>
  <si>
    <t>Tyto</t>
  </si>
  <si>
    <t>Glaucidium</t>
  </si>
  <si>
    <t>Asio</t>
  </si>
  <si>
    <t>Apus</t>
  </si>
  <si>
    <t>Upupa</t>
  </si>
  <si>
    <t>Coracias</t>
  </si>
  <si>
    <t>Merops</t>
  </si>
  <si>
    <t>Alcedo</t>
  </si>
  <si>
    <t>Phoenicurus</t>
  </si>
  <si>
    <t>Luscinia</t>
  </si>
  <si>
    <t>Troglodytes</t>
  </si>
  <si>
    <t>Cinclus</t>
  </si>
  <si>
    <t>Prunella</t>
  </si>
  <si>
    <t>Monticola</t>
  </si>
  <si>
    <t>Galerida</t>
  </si>
  <si>
    <t>Anthus</t>
  </si>
  <si>
    <t>Hirundo</t>
  </si>
  <si>
    <t>Alauda</t>
  </si>
  <si>
    <t>Turdus</t>
  </si>
  <si>
    <t>Oenanthe</t>
  </si>
  <si>
    <t>Saxicola</t>
  </si>
  <si>
    <t>Curruca</t>
  </si>
  <si>
    <t>Sylvia</t>
  </si>
  <si>
    <t>Phylloscopus</t>
  </si>
  <si>
    <t>Regulus</t>
  </si>
  <si>
    <t>Cettia</t>
  </si>
  <si>
    <t>Lanius</t>
  </si>
  <si>
    <t>Certhia</t>
  </si>
  <si>
    <t>Ficedula</t>
  </si>
  <si>
    <t>Aegithalos</t>
  </si>
  <si>
    <t>Poecile</t>
  </si>
  <si>
    <t>Cyanistes</t>
  </si>
  <si>
    <t>Sitta</t>
  </si>
  <si>
    <t>Coloeus</t>
  </si>
  <si>
    <t>Carduelis</t>
  </si>
  <si>
    <t>Linaria</t>
  </si>
  <si>
    <t>Serinus</t>
  </si>
  <si>
    <t>Chloris</t>
  </si>
  <si>
    <t>Loxia</t>
  </si>
  <si>
    <t>Pyrrhula</t>
  </si>
  <si>
    <t>Coccothraustes</t>
  </si>
  <si>
    <t>Sturnus</t>
  </si>
  <si>
    <t>Pastor</t>
  </si>
  <si>
    <t>Emberiza</t>
  </si>
  <si>
    <t>Etichette di riga</t>
  </si>
  <si>
    <t>(vuoto)</t>
  </si>
  <si>
    <t>Totale complessivo</t>
  </si>
  <si>
    <t>Etichette di colonna</t>
  </si>
  <si>
    <t>Conteggio di genus</t>
  </si>
  <si>
    <t>Totale</t>
  </si>
  <si>
    <t>Generi</t>
  </si>
  <si>
    <t>Vuote o estero</t>
  </si>
  <si>
    <t>Conteggio di country</t>
  </si>
  <si>
    <t xml:space="preserve">  ()</t>
  </si>
  <si>
    <t>Accipiter nisus (Linnaeus, 1758)</t>
  </si>
  <si>
    <t>Actitis hypoleucos (Linnaeus, 1758)</t>
  </si>
  <si>
    <t>Aegithalos caudatus (Linnaeus, 1758)</t>
  </si>
  <si>
    <t>Alauda arvensis (Linnaeus, 1758)</t>
  </si>
  <si>
    <t>Alcedo atthis (Linnaeus, 1758)</t>
  </si>
  <si>
    <t>Alectoris chukar (Gray, 1830)</t>
  </si>
  <si>
    <t>Alectoris graeca (Meisner, 1804)</t>
  </si>
  <si>
    <t>Anas acuta (Linnaeus, 1758)</t>
  </si>
  <si>
    <t>Anas crecca (Linnaeus, 1758)</t>
  </si>
  <si>
    <t>Anas platyrhynchos (Linnaeus, 1758)</t>
  </si>
  <si>
    <t>Anser albifrons (Scopoli, 1769)</t>
  </si>
  <si>
    <t>Anthus trivialis (Linnaeus, 1758)</t>
  </si>
  <si>
    <t>Apus apus (Linnaeus, 1758)</t>
  </si>
  <si>
    <t>Aquila chrysaetos (Linnaeus, 1758)</t>
  </si>
  <si>
    <t>Ardea alba (Linnaeus, 1758)</t>
  </si>
  <si>
    <t>Ardea purpurea (Linnaeus, 1766)</t>
  </si>
  <si>
    <t>Asio flammeus (Pontoppidan, 1763)</t>
  </si>
  <si>
    <t>Asio otus (Linnaeus, 1758)</t>
  </si>
  <si>
    <t>Astur gentilis (Linnaeus, 1758)</t>
  </si>
  <si>
    <t>Athene noctua (Scopoli, 1769)</t>
  </si>
  <si>
    <t>Aythya ferina (Linnaeus, 1758)</t>
  </si>
  <si>
    <t>Aythya nyroca (Guldenstadt, 1770)</t>
  </si>
  <si>
    <t>Aythya nyroca (Guldenstadt, 1770)</t>
  </si>
  <si>
    <t>Botaurus stellaris (Linnaeus, 1758)</t>
  </si>
  <si>
    <t>Bubo bubo (Linnaeus, 1758)</t>
  </si>
  <si>
    <t>Buteo buteo (Linnaeus, 1758)</t>
  </si>
  <si>
    <t>Calidris minuta (Leisler, 1812)</t>
  </si>
  <si>
    <t>Calidris pugnax (Linnaeus, 1758)</t>
  </si>
  <si>
    <t>Caprimulgus europaeus (Linnaeus, 1758)</t>
  </si>
  <si>
    <t>Carduelis carduelis (Linnaeus, 1758)</t>
  </si>
  <si>
    <t>Certhia brachydactyla (Brehm, 1820)</t>
  </si>
  <si>
    <t>Cettia cetti (Temminck, 1820)</t>
  </si>
  <si>
    <t>Charadrius dubius (Scopoli, 1786)</t>
  </si>
  <si>
    <t>Charadrius hiaticula (Linnaeus, 1758)</t>
  </si>
  <si>
    <t>Chlidonias niger (Linnaeus, 1758)</t>
  </si>
  <si>
    <t>Chloris chloris (Linnaeus, 1758)</t>
  </si>
  <si>
    <t>Chroicocephalus ridibundus (Linnaeus, 1766)</t>
  </si>
  <si>
    <t>Cinclus cinclus (Linnaeus, 1758)</t>
  </si>
  <si>
    <t>Circus aeruginosus (Linnaeus, 1758)</t>
  </si>
  <si>
    <t>Circus cyaneus (Linnaeus, 1766)</t>
  </si>
  <si>
    <t>Coccothraustes coccothraustes (Brisson, 1760)</t>
  </si>
  <si>
    <t>Coloeus monedula (Linnaeus, 1758)</t>
  </si>
  <si>
    <t>Columba palumbus (Linnaeus, 1758)</t>
  </si>
  <si>
    <t>Coracias garrulus (Linnaeus, 1758)</t>
  </si>
  <si>
    <t>Corvus albus (Statius Müller, 1776)</t>
  </si>
  <si>
    <t>Corvus corax (Linnaeus, 1758)</t>
  </si>
  <si>
    <t>Corvus corone (Linnaeus, 1758)</t>
  </si>
  <si>
    <t>Corvus frugilegus (Linnaeus, 1758)</t>
  </si>
  <si>
    <t>Coturnix coturnix (Linnaeus, 1758)</t>
  </si>
  <si>
    <t>Cuculus canorus (Linnaeus, 1758)</t>
  </si>
  <si>
    <t>Curruca hortensis (Gmelin, 1789)</t>
  </si>
  <si>
    <t>Cyanistes caeruleus (Linnaeus, 1758)</t>
  </si>
  <si>
    <t>Dendrocopos major (Linnaeus, 1758)</t>
  </si>
  <si>
    <t>Egretta garzetta (Linnaeus, 1766)</t>
  </si>
  <si>
    <t>Emberiza calandra (Linnaeus, 1758)</t>
  </si>
  <si>
    <t>Emberiza citrinella (Linnaeus, 1758)</t>
  </si>
  <si>
    <t>Eriocnemis vestita (Lesson, 1839)</t>
  </si>
  <si>
    <t>Erithacus rubecula (Linnaeus, 1758)</t>
  </si>
  <si>
    <t>Eudyptes chrysolophus (Brandt, 1837)</t>
  </si>
  <si>
    <t>Falco naumanni (Fleischer, 1818)</t>
  </si>
  <si>
    <t>Falco subbuteo (Linnaeus, 1758)</t>
  </si>
  <si>
    <t>Falco tinnunculus (Linnaeus, 1758)</t>
  </si>
  <si>
    <t>Ficedula hypoleuca (Pallas, 1764)</t>
  </si>
  <si>
    <t>Fringilla coelebs (Linnaeus, 1758)</t>
  </si>
  <si>
    <t>Fringilla montifringilla (Linnaeus, 1758)</t>
  </si>
  <si>
    <t>Fulica atra (Linnaeus, 1758)</t>
  </si>
  <si>
    <t>Galerida cristata (Linnaeus, 1758)</t>
  </si>
  <si>
    <t>Gallinago gallinago (Linnaeus, 1758)</t>
  </si>
  <si>
    <t>Gallinago media (Latham, 1787)</t>
  </si>
  <si>
    <t>Gallinula chloropus (Linnaeus, 1758)</t>
  </si>
  <si>
    <t>Garrulus glandarius (Linnaeus, 1758)</t>
  </si>
  <si>
    <t>Gavia stellata (Pontoppidan, 1763)</t>
  </si>
  <si>
    <t>Glaucidium passerinum (Linnaeus, 1758)</t>
  </si>
  <si>
    <t>Himantopus himantopus (Linnaeus, 1758)</t>
  </si>
  <si>
    <t>Hirundo rustica (Linnaeus, 1758)</t>
  </si>
  <si>
    <t>Hydrocoloeus minutus (Pallas, 1776)</t>
  </si>
  <si>
    <t>Ichthyaetus melanocephalus (Temminck, 1820)</t>
  </si>
  <si>
    <t>Jynx torquilla (Linnaeus, 1758)</t>
  </si>
  <si>
    <t>Lagopus muta (Montin, 1781)</t>
  </si>
  <si>
    <t>Lanius senator (Linnaeus, 1758)</t>
  </si>
  <si>
    <t>Limosa limosa (Linnaeus, 1758)</t>
  </si>
  <si>
    <t>Linaria cannabina (Linnaeus, 1758)</t>
  </si>
  <si>
    <t>Loxia curvirostra (Linnaeus, 1758)</t>
  </si>
  <si>
    <t>Luscinia megarhynchos (Brehm, 1831)</t>
  </si>
  <si>
    <t>Mareca penelope (Linnaeus, 1758)</t>
  </si>
  <si>
    <t>Mergellus albellus (Linnaeus, 1758)</t>
  </si>
  <si>
    <t>Mergus serrator (Linnaeus, 1758)</t>
  </si>
  <si>
    <t>Merops apiaster (Linnaeus, 1758)</t>
  </si>
  <si>
    <t>Milvus migrans (Boddaert, 1783)</t>
  </si>
  <si>
    <t>Milvus milvus (Linnaeus, 1758)</t>
  </si>
  <si>
    <t>Monticola alba (Linnaeus, 1758)</t>
  </si>
  <si>
    <t>Monticola cinerea (Tunstall, 1771)</t>
  </si>
  <si>
    <t>Monticola solitarius (Linnaeus, 1758)</t>
  </si>
  <si>
    <t>Netta rufina (Pallas, 1773)</t>
  </si>
  <si>
    <t>Nucifraga caryocatactes (Linnaeus, 1758)</t>
  </si>
  <si>
    <t>Numenius arquata (Linnaeus, 1758)</t>
  </si>
  <si>
    <t>Nycticorax nycticorax (Linnaeus, 1758)</t>
  </si>
  <si>
    <t>Oenanthe oenanthe (Linnaeus, 1758)</t>
  </si>
  <si>
    <t>Oriolus oriolus (Linnaeus, 1758)</t>
  </si>
  <si>
    <t>Otus scops (Linnaeus, 1758)</t>
  </si>
  <si>
    <t>Parus major (Linnaeus, 1758)</t>
  </si>
  <si>
    <t>Passer domesticus (Linnaeus, 1758)</t>
  </si>
  <si>
    <t>Passer italiae (Viellot, 1817)</t>
  </si>
  <si>
    <t>Passer montanus (Linnaeus, 1758)</t>
  </si>
  <si>
    <t>Pastor roseus (Linnaeus, 1758)</t>
  </si>
  <si>
    <t>Perdix perdix (Linnaeus, 1758)</t>
  </si>
  <si>
    <t>Pernis apivorus (Linnaeus, 1758)</t>
  </si>
  <si>
    <t>Phalacrocorax carbo (Linnaeus, 1758)</t>
  </si>
  <si>
    <t>Phoenicurus ochruros (Gmelin, 1774)</t>
  </si>
  <si>
    <t>Phoenicurus phoenicurus (Linnaeus, 1758)</t>
  </si>
  <si>
    <t>Phylloscopus sibilatrix (Bechstein, 1793)</t>
  </si>
  <si>
    <t>Pica pica (Linnaeus, 1758)</t>
  </si>
  <si>
    <t>Picus viridis (Linnaeus, 1758)</t>
  </si>
  <si>
    <t>Plegadis falcinellus (Linnaeus, 1766)</t>
  </si>
  <si>
    <t>Pluvialis apricaria (Linnaeus, 1758)</t>
  </si>
  <si>
    <t>Podiceps cristatus (Linnaeus, 1758)</t>
  </si>
  <si>
    <t>Podiceps nigricollis (Brehm, 1831)</t>
  </si>
  <si>
    <t>Poecile palustris (Linnaeus, 1758)</t>
  </si>
  <si>
    <t>Prunella modularis (Linnaeus, 1758)</t>
  </si>
  <si>
    <t>Pyrrhocorax graculus (Linnaeus, 1766)</t>
  </si>
  <si>
    <t>Pyrrhocorax pyrrhocorax (Linnaeus, 1758)</t>
  </si>
  <si>
    <t>Pyrrhula pyrrhula (Linnaeus, 1758)</t>
  </si>
  <si>
    <t>Rallus aquaticus (Linnaeus, 1758)</t>
  </si>
  <si>
    <t>Ramphastos dicolorus (Linnaeus, 1766)</t>
  </si>
  <si>
    <t>Recurvirostra avosetta (Linnaeus, 1758)</t>
  </si>
  <si>
    <t>Regulus regulus (Linnaeus, 1758)</t>
  </si>
  <si>
    <t>Rhynchotus rufescens (Temminck, 1815)</t>
  </si>
  <si>
    <t>Rissa tridactyla (Linnaeus, 1758)</t>
  </si>
  <si>
    <t>Saxicola rubetra (Linnaeus, 1758)</t>
  </si>
  <si>
    <t>Saxicola torquatus (Linnaeus, 1766)</t>
  </si>
  <si>
    <t>Scolopax rusticola (Linnaeus, 1758)</t>
  </si>
  <si>
    <t>Serinus serinus (Linnaeus, 1766)</t>
  </si>
  <si>
    <t>Sitta europaea (Linnaeus, 1758)</t>
  </si>
  <si>
    <t>Spatula clypeata (Spatula clypeata)</t>
  </si>
  <si>
    <t>Spatula querquedula (Linnaeus, 1758)</t>
  </si>
  <si>
    <t>Sternula albifrons (Pallas, 1764)</t>
  </si>
  <si>
    <t>Streptopelia turtur (Linnaeus, 1758)</t>
  </si>
  <si>
    <t>Strix aluco (Linnaeus, 1758)</t>
  </si>
  <si>
    <t>Sturnus vulgaris (Linnaeus, 1758)</t>
  </si>
  <si>
    <t>Sylvia atricapilla (Linnaeus, 1758)</t>
  </si>
  <si>
    <t>Sylvia borin (Boddaert, 1783)</t>
  </si>
  <si>
    <t>Tachybaptus ruficollis (Pallas, 1764)</t>
  </si>
  <si>
    <t>Trichoglossus moluccans (Pallas, 1764)</t>
  </si>
  <si>
    <t>Tringa erythropus (Pallas, 1764)</t>
  </si>
  <si>
    <t>Tringa glareola   (Linnaeus, 1758)</t>
  </si>
  <si>
    <t>Tringa nebularia (Gunnerus, 1767)</t>
  </si>
  <si>
    <t>Tringa totanus (Linnaeus, 1758)</t>
  </si>
  <si>
    <t>Trochilidaesp.  (Vigors, 1825)</t>
  </si>
  <si>
    <t>Troglodytes troglodytes (Linnaeus, 1758)</t>
  </si>
  <si>
    <t>Turdus iliacus (Linnaeus, 1758)</t>
  </si>
  <si>
    <t>Turdus merula (Linnaeus, 1758)</t>
  </si>
  <si>
    <t>Turdus philomelos (Brehm, 1831)</t>
  </si>
  <si>
    <t>Turdus torquatus (Linnaeus, 1758)</t>
  </si>
  <si>
    <t>Tyto alba (Scopoli, 1769)</t>
  </si>
  <si>
    <t>Upupa epops (Linnaeus, 1758)</t>
  </si>
  <si>
    <t>Vanellus vanellus (Linnaeus, 1758)</t>
  </si>
  <si>
    <t>Conteggio di scientificName</t>
  </si>
  <si>
    <t xml:space="preserve"> </t>
  </si>
  <si>
    <t>North America</t>
  </si>
  <si>
    <t>Guatemala</t>
  </si>
  <si>
    <t>South America</t>
  </si>
  <si>
    <t>Ex coll. Vigna</t>
  </si>
  <si>
    <t>Ex coll. Antinori</t>
  </si>
  <si>
    <t>Ex coll. Setacci</t>
  </si>
  <si>
    <t>Tognon</t>
  </si>
  <si>
    <t>Pandolfi</t>
  </si>
  <si>
    <t>Quaderni</t>
  </si>
  <si>
    <t>Sezzani</t>
  </si>
  <si>
    <t>ORN2025-001</t>
  </si>
  <si>
    <t>ORN2025-002</t>
  </si>
  <si>
    <t>ORN2025-003</t>
  </si>
  <si>
    <t>ORN2025-004</t>
  </si>
  <si>
    <t>ORN2025-005</t>
  </si>
  <si>
    <t>ORN2025-006</t>
  </si>
  <si>
    <t>ORN2025-007</t>
  </si>
  <si>
    <t>ORN2025-008</t>
  </si>
  <si>
    <t>ORN2025-009</t>
  </si>
  <si>
    <t>ORN2025-010</t>
  </si>
  <si>
    <t>ORN2025-011</t>
  </si>
  <si>
    <t>ORN2025-012</t>
  </si>
  <si>
    <t>ORN2025-013</t>
  </si>
  <si>
    <t>ORN2025-014</t>
  </si>
  <si>
    <t>ORN2025-015</t>
  </si>
  <si>
    <t>ORN2025-016</t>
  </si>
  <si>
    <t>ORN2025-017</t>
  </si>
  <si>
    <t>ORN2025-018</t>
  </si>
  <si>
    <t>ORN2025-019</t>
  </si>
  <si>
    <t>ORN2025-020</t>
  </si>
  <si>
    <t>ORN2025-021</t>
  </si>
  <si>
    <t>ORN2025-022</t>
  </si>
  <si>
    <t>ORN2025-023</t>
  </si>
  <si>
    <t>ORN2025-024</t>
  </si>
  <si>
    <t>ORN2025-025</t>
  </si>
  <si>
    <t>ORN2025-026</t>
  </si>
  <si>
    <t>ORN2025-027</t>
  </si>
  <si>
    <t>ORN2025-028</t>
  </si>
  <si>
    <t>ORN2025-029</t>
  </si>
  <si>
    <t>ORN2025-030</t>
  </si>
  <si>
    <t>ORN2025-031</t>
  </si>
  <si>
    <t>ORN2025-032</t>
  </si>
  <si>
    <t>ORN2025-033</t>
  </si>
  <si>
    <t>ORN2025-034</t>
  </si>
  <si>
    <t>ORN2025-035</t>
  </si>
  <si>
    <t>ORN2025-036</t>
  </si>
  <si>
    <t>ORN2025-037</t>
  </si>
  <si>
    <t>ORN2025-038</t>
  </si>
  <si>
    <t>ORN2025-039</t>
  </si>
  <si>
    <t>ORN2025-040</t>
  </si>
  <si>
    <t>ORN2025-041</t>
  </si>
  <si>
    <t>ORN2025-042</t>
  </si>
  <si>
    <t>ORN2025-043</t>
  </si>
  <si>
    <t>ORN2025-044</t>
  </si>
  <si>
    <t>ORN2025-045</t>
  </si>
  <si>
    <t>ORN2025-046</t>
  </si>
  <si>
    <t>ORN2025-047</t>
  </si>
  <si>
    <t>ORN2025-048</t>
  </si>
  <si>
    <t>ORN2025-049</t>
  </si>
  <si>
    <t>ORN2025-050</t>
  </si>
  <si>
    <t>ORN2025-051</t>
  </si>
  <si>
    <t>ORN2025-052</t>
  </si>
  <si>
    <t>ORN2025-053</t>
  </si>
  <si>
    <t>ORN2025-054</t>
  </si>
  <si>
    <t>ORN2025-055</t>
  </si>
  <si>
    <t>ORN2025-056</t>
  </si>
  <si>
    <t>ORN2025-057</t>
  </si>
  <si>
    <t>ORN2025-059</t>
  </si>
  <si>
    <t>ORN2025-060</t>
  </si>
  <si>
    <t>ORN2025-061</t>
  </si>
  <si>
    <t>ORN2025-062</t>
  </si>
  <si>
    <t>ORN2025-063</t>
  </si>
  <si>
    <t>ORN2025-064</t>
  </si>
  <si>
    <t>ORN2025-065</t>
  </si>
  <si>
    <t>ORN2025-066</t>
  </si>
  <si>
    <t>ORN2025-067</t>
  </si>
  <si>
    <t>ORN2025-068</t>
  </si>
  <si>
    <t>ORN2025-069</t>
  </si>
  <si>
    <t>ORN2025-070</t>
  </si>
  <si>
    <t>ORN2025-071</t>
  </si>
  <si>
    <t>ORN2025-072</t>
  </si>
  <si>
    <t>ORN2025-073</t>
  </si>
  <si>
    <t>ORN2025-074</t>
  </si>
  <si>
    <t>ORN2025-075</t>
  </si>
  <si>
    <t>ORN2025-076</t>
  </si>
  <si>
    <t>ORN2025-077</t>
  </si>
  <si>
    <t>ORN2025-078</t>
  </si>
  <si>
    <t>ORN2025-079</t>
  </si>
  <si>
    <t>ORN2025-080</t>
  </si>
  <si>
    <t>ORN2025-081</t>
  </si>
  <si>
    <t>ORN2025-082</t>
  </si>
  <si>
    <t>ORN2025-083</t>
  </si>
  <si>
    <t>ORN2025-084</t>
  </si>
  <si>
    <t>ORN2025-085</t>
  </si>
  <si>
    <t>ORN2025-086</t>
  </si>
  <si>
    <t>ORN2025-087</t>
  </si>
  <si>
    <t>ORN2025-088</t>
  </si>
  <si>
    <t>ORN2025-089</t>
  </si>
  <si>
    <t>ORN2025-090</t>
  </si>
  <si>
    <t>ORN2025-091</t>
  </si>
  <si>
    <t>ORN2025-092</t>
  </si>
  <si>
    <t>ORN2025-093</t>
  </si>
  <si>
    <t>ORN2025-094</t>
  </si>
  <si>
    <t>ORN2025-095</t>
  </si>
  <si>
    <t>ORN2025-096</t>
  </si>
  <si>
    <t>ORN2025-097</t>
  </si>
  <si>
    <t>ORN2025-098</t>
  </si>
  <si>
    <t>ORN2025-099</t>
  </si>
  <si>
    <t>ORN2025-100</t>
  </si>
  <si>
    <t>ORN2025-101</t>
  </si>
  <si>
    <t>ORN2025-102</t>
  </si>
  <si>
    <t>ORN2025-103</t>
  </si>
  <si>
    <t>ORN2025-104</t>
  </si>
  <si>
    <t>ORN2025-105</t>
  </si>
  <si>
    <t>ORN2025-106</t>
  </si>
  <si>
    <t>ORN2025-107</t>
  </si>
  <si>
    <t>ORN2025-108</t>
  </si>
  <si>
    <t>ORN2025-109</t>
  </si>
  <si>
    <t>ORN2025-110</t>
  </si>
  <si>
    <t>ORN2025-111</t>
  </si>
  <si>
    <t>ORN2025-112</t>
  </si>
  <si>
    <t>ORN2025-113</t>
  </si>
  <si>
    <t>ORN2025-114</t>
  </si>
  <si>
    <t>ORN2025-115</t>
  </si>
  <si>
    <t>ORN2025-116</t>
  </si>
  <si>
    <t>ORN2025-117</t>
  </si>
  <si>
    <t>ORN2025-118</t>
  </si>
  <si>
    <t>ORN2025-119</t>
  </si>
  <si>
    <t>ORN2025-120</t>
  </si>
  <si>
    <t>ORN2025-121</t>
  </si>
  <si>
    <t>ORN2025-122</t>
  </si>
  <si>
    <t>ORN2025-123</t>
  </si>
  <si>
    <t>ORN2025-124</t>
  </si>
  <si>
    <t>ORN2025-125</t>
  </si>
  <si>
    <t>ORN2025-126</t>
  </si>
  <si>
    <t>ORN2025-127</t>
  </si>
  <si>
    <t>ORN2025-128</t>
  </si>
  <si>
    <t>ORN2025-129</t>
  </si>
  <si>
    <t>ORN2025-130</t>
  </si>
  <si>
    <t>ORN2025-131</t>
  </si>
  <si>
    <t>ORN2025-132</t>
  </si>
  <si>
    <t>ORN2025-133</t>
  </si>
  <si>
    <t>ORN2025-134</t>
  </si>
  <si>
    <t>ORN2025-135</t>
  </si>
  <si>
    <t>ORN2025-136</t>
  </si>
  <si>
    <t>ORN2025-137</t>
  </si>
  <si>
    <t>ORN2025-138</t>
  </si>
  <si>
    <t>ORN2025-139</t>
  </si>
  <si>
    <t>ORN2025-140</t>
  </si>
  <si>
    <t>ORN2025-141</t>
  </si>
  <si>
    <t>ORN2025-142</t>
  </si>
  <si>
    <t>ORN2025-143</t>
  </si>
  <si>
    <t>ORN2025-144</t>
  </si>
  <si>
    <t>ORN2025-145</t>
  </si>
  <si>
    <t>ORN2025-146</t>
  </si>
  <si>
    <t>ORN2025-147</t>
  </si>
  <si>
    <t>ORN2025-148</t>
  </si>
  <si>
    <t>ORN2025-149</t>
  </si>
  <si>
    <t>ORN2025-150</t>
  </si>
  <si>
    <t>ORN2025-151</t>
  </si>
  <si>
    <t>ORN2025-152</t>
  </si>
  <si>
    <t>ORN2025-153</t>
  </si>
  <si>
    <t>ORN2025-154</t>
  </si>
  <si>
    <t>ORN2025-155</t>
  </si>
  <si>
    <t>ORN2025-156</t>
  </si>
  <si>
    <t>ORN2025-157</t>
  </si>
  <si>
    <t>ORN2025-158</t>
  </si>
  <si>
    <t>ORN2025-159</t>
  </si>
  <si>
    <t>ORN2025-160</t>
  </si>
  <si>
    <t>ORN2025-161</t>
  </si>
  <si>
    <t>ORN2025-162</t>
  </si>
  <si>
    <t>ORN2025-163</t>
  </si>
  <si>
    <t>ORN2025-164</t>
  </si>
  <si>
    <t>ORN2025-165</t>
  </si>
  <si>
    <t>ORN2025-166</t>
  </si>
  <si>
    <t>ORN2025-167</t>
  </si>
  <si>
    <t>ORN2025-168</t>
  </si>
  <si>
    <t>ORN2025-169</t>
  </si>
  <si>
    <t>ORN2025-170</t>
  </si>
  <si>
    <t>ORN2025-171</t>
  </si>
  <si>
    <t>ORN2025-172</t>
  </si>
  <si>
    <t>ORN2025-173</t>
  </si>
  <si>
    <t>ORN2025-174</t>
  </si>
  <si>
    <t>ORN2025-175</t>
  </si>
  <si>
    <t>ORN2025-176</t>
  </si>
  <si>
    <t>ORN2025-177</t>
  </si>
  <si>
    <t>ORN2025-178</t>
  </si>
  <si>
    <t>ORN2025-179</t>
  </si>
  <si>
    <t>ORN2025-180</t>
  </si>
  <si>
    <t>ORN2025-181</t>
  </si>
  <si>
    <t>ORN2025-182</t>
  </si>
  <si>
    <t>ORN2025-183</t>
  </si>
  <si>
    <t>ORN2025-184</t>
  </si>
  <si>
    <t>ORN2025-185</t>
  </si>
  <si>
    <t>ORN2025-186</t>
  </si>
  <si>
    <t>ORN2025-187</t>
  </si>
  <si>
    <t>ORN2025-188</t>
  </si>
  <si>
    <t>ORN2025-189</t>
  </si>
  <si>
    <t>ORN2025-190</t>
  </si>
  <si>
    <t>ORN2025-191</t>
  </si>
  <si>
    <t>ORN2025-192</t>
  </si>
  <si>
    <t>ORN2025-193</t>
  </si>
  <si>
    <t>ORN2025-194</t>
  </si>
  <si>
    <t>ORN2025-195</t>
  </si>
  <si>
    <t>ORN2025-196</t>
  </si>
  <si>
    <t>ORN2025-197</t>
  </si>
  <si>
    <t>ORN2025-198</t>
  </si>
  <si>
    <t>ORN2025-199</t>
  </si>
  <si>
    <t>ORN2025-200</t>
  </si>
  <si>
    <t>ORN2025-201</t>
  </si>
  <si>
    <t>ORN2025-202</t>
  </si>
  <si>
    <t>ORN2025-203</t>
  </si>
  <si>
    <t>ORN2025-204</t>
  </si>
  <si>
    <t>ORN2025-205</t>
  </si>
  <si>
    <t>ORN2025-206</t>
  </si>
  <si>
    <t>ORN2025-207</t>
  </si>
  <si>
    <t>ORN2025-208</t>
  </si>
  <si>
    <t>ORN2025-209</t>
  </si>
  <si>
    <t>ORN2025-210</t>
  </si>
  <si>
    <t>ORN2025-211</t>
  </si>
  <si>
    <t>ORN2025-212</t>
  </si>
  <si>
    <t>ORN2025-213</t>
  </si>
  <si>
    <t>ORN2025-214</t>
  </si>
  <si>
    <t>ORN2025-215</t>
  </si>
  <si>
    <t>ORN2025-216</t>
  </si>
  <si>
    <t>ORN2025-217</t>
  </si>
  <si>
    <t>ORN2025-218</t>
  </si>
  <si>
    <t>ORN2025-219</t>
  </si>
  <si>
    <t>ORN2025-220</t>
  </si>
  <si>
    <t>ORN2025-221</t>
  </si>
  <si>
    <t>ORN2025-222</t>
  </si>
  <si>
    <t>ORN2025-223</t>
  </si>
  <si>
    <t>ORN2025-224</t>
  </si>
  <si>
    <t>ORN2025-225</t>
  </si>
  <si>
    <t>ORN2025-226</t>
  </si>
  <si>
    <t>ORN2025-227</t>
  </si>
  <si>
    <t>ORN2025-228</t>
  </si>
  <si>
    <t>ORN2025-229</t>
  </si>
  <si>
    <t>ORN2025-230</t>
  </si>
  <si>
    <t>ORN2025-231</t>
  </si>
  <si>
    <t>ORN2025-232</t>
  </si>
  <si>
    <t>ORN2025-233</t>
  </si>
  <si>
    <t>ORN2025-234</t>
  </si>
  <si>
    <t>ORN2025-235</t>
  </si>
  <si>
    <t>ORN2025-236</t>
  </si>
  <si>
    <t>ORN2025-237</t>
  </si>
  <si>
    <t>ORN2025-238</t>
  </si>
  <si>
    <t>ORN2025-239</t>
  </si>
  <si>
    <t>ORN2025-240</t>
  </si>
  <si>
    <t>ORN2025-241</t>
  </si>
  <si>
    <t>ORN2025-242</t>
  </si>
  <si>
    <t>ORN2025-243</t>
  </si>
  <si>
    <t>ORN2025-244</t>
  </si>
  <si>
    <t>ORN2025-245</t>
  </si>
  <si>
    <t>ORN2025-246</t>
  </si>
  <si>
    <t>ORN2025-247</t>
  </si>
  <si>
    <t>ORN2025-248</t>
  </si>
  <si>
    <t>ORN2025-249</t>
  </si>
  <si>
    <t>ORN2025-250</t>
  </si>
  <si>
    <t>ORN2025-251</t>
  </si>
  <si>
    <t>ORN2025-252</t>
  </si>
  <si>
    <t>ORN2025-253</t>
  </si>
  <si>
    <t>ORN2025-254</t>
  </si>
  <si>
    <t>ORN2025-255</t>
  </si>
  <si>
    <t>ORN2025-256</t>
  </si>
  <si>
    <t>ORN2025-257</t>
  </si>
  <si>
    <t>ORN2025-258</t>
  </si>
  <si>
    <t>ORN2025-259</t>
  </si>
  <si>
    <t>ORN2025-260</t>
  </si>
  <si>
    <t>ORN2025-261</t>
  </si>
  <si>
    <t>ORN2025-262</t>
  </si>
  <si>
    <t>ORN2025-263</t>
  </si>
  <si>
    <t>ORN2025-264</t>
  </si>
  <si>
    <t>ORN2025-265</t>
  </si>
  <si>
    <t>ORN2025-266</t>
  </si>
  <si>
    <t>ORN2025-267</t>
  </si>
  <si>
    <t>ORN2025-268</t>
  </si>
  <si>
    <t>ORN2025-269</t>
  </si>
  <si>
    <t>ORN2025-270</t>
  </si>
  <si>
    <t>ORN2025-271</t>
  </si>
  <si>
    <t>ORN2025-272</t>
  </si>
  <si>
    <t>ORN2025-273</t>
  </si>
  <si>
    <t>ORN2025-274</t>
  </si>
  <si>
    <t>ORN2025-275</t>
  </si>
  <si>
    <t>ORN2025-276</t>
  </si>
  <si>
    <t>ORN2025-277</t>
  </si>
  <si>
    <t>ORN2025-278</t>
  </si>
  <si>
    <t>ORN2025-279</t>
  </si>
  <si>
    <t>ORN2025-280</t>
  </si>
  <si>
    <t>ORN2025-281</t>
  </si>
  <si>
    <t>ORN2025-282</t>
  </si>
  <si>
    <t>ORN2025-283</t>
  </si>
  <si>
    <t>ORN2025-284</t>
  </si>
  <si>
    <t>ORN2025-285</t>
  </si>
  <si>
    <t>ORN2025-286</t>
  </si>
  <si>
    <t>ORN2025-287</t>
  </si>
  <si>
    <t>ORN2025-288</t>
  </si>
  <si>
    <t>ORN2025-289</t>
  </si>
  <si>
    <t>ORN2025-290</t>
  </si>
  <si>
    <t>ORN2025-291</t>
  </si>
  <si>
    <t>ORN2025-292</t>
  </si>
  <si>
    <t>ORN2025-293</t>
  </si>
  <si>
    <t>ORN2025-294</t>
  </si>
  <si>
    <t>ORN2025-295</t>
  </si>
  <si>
    <t>ORN2025-296</t>
  </si>
  <si>
    <t>ORN2025-297</t>
  </si>
  <si>
    <t>ORN2025-298</t>
  </si>
  <si>
    <t>minor</t>
  </si>
  <si>
    <t>Dryobates</t>
  </si>
  <si>
    <t>cantillans</t>
  </si>
  <si>
    <t>N\A</t>
  </si>
  <si>
    <t>decimal degrees</t>
  </si>
  <si>
    <t>Lepri | Patrizi</t>
  </si>
  <si>
    <t>Roma</t>
  </si>
  <si>
    <t>Dono Regina Elena</t>
  </si>
  <si>
    <t>Dono Vittorio Emanuele III</t>
  </si>
  <si>
    <t>Italia settentrionale</t>
  </si>
  <si>
    <t>Da do cazzo l'hai preso?</t>
  </si>
  <si>
    <t>Sambuco</t>
  </si>
  <si>
    <t>Dono Principe Piemonte</t>
  </si>
  <si>
    <t>01/01/1893</t>
  </si>
  <si>
    <t>Campo di Mare</t>
  </si>
  <si>
    <t>La Cascina, Cuneo</t>
  </si>
  <si>
    <t>Roma, Fidene</t>
  </si>
  <si>
    <t>Zannone</t>
  </si>
  <si>
    <t>Conteggi ordine alfabetico</t>
  </si>
  <si>
    <t>occurrenceRemarks</t>
  </si>
  <si>
    <t>DSC_0572.jpg</t>
  </si>
  <si>
    <t>DSC_0573.jpg</t>
  </si>
  <si>
    <t>DSC_0574.jpg</t>
  </si>
  <si>
    <t>DSC_0575.jpg</t>
  </si>
  <si>
    <t>DSC_0576.jpg</t>
  </si>
  <si>
    <t>DSC_0577.jpg</t>
  </si>
  <si>
    <t>DSC_0578.jpg</t>
  </si>
  <si>
    <t>DSC_0579.jpg</t>
  </si>
  <si>
    <t>DSC_0580.jpg</t>
  </si>
  <si>
    <t>DSC_0581.jpg</t>
  </si>
  <si>
    <t>DSC_0582.jpg</t>
  </si>
  <si>
    <t>DSC_0583.jpg</t>
  </si>
  <si>
    <t>DSC_0586.jpg</t>
  </si>
  <si>
    <t>DSC_0587.jpg</t>
  </si>
  <si>
    <t>DSC_0588.jpg</t>
  </si>
  <si>
    <t>DSC_0589.jpg</t>
  </si>
  <si>
    <t>DSC_0590.jpg</t>
  </si>
  <si>
    <t>DSC_0591.jpg</t>
  </si>
  <si>
    <t>DSC_0592.jpg</t>
  </si>
  <si>
    <t>DSC_0593.jpg</t>
  </si>
  <si>
    <t>DSC_0594.jpg</t>
  </si>
  <si>
    <t>DSC_0595.jpg</t>
  </si>
  <si>
    <t>DSC_0596.jpg</t>
  </si>
  <si>
    <t>DSC_0597.jpg</t>
  </si>
  <si>
    <t>DSC_0598.jpg</t>
  </si>
  <si>
    <t>DSC_0599.jpg</t>
  </si>
  <si>
    <t>DSC_0600.jpg</t>
  </si>
  <si>
    <t>DSC_0601.jpg</t>
  </si>
  <si>
    <t>DSC_0602.jpg</t>
  </si>
  <si>
    <t>DSC_0603.jpg</t>
  </si>
  <si>
    <t>DSC_0604.jpg</t>
  </si>
  <si>
    <t>DSC_0605.jpg</t>
  </si>
  <si>
    <t>DSC_0606.jpg</t>
  </si>
  <si>
    <t>DSC_0607.jpg</t>
  </si>
  <si>
    <t>DSC_0608.jpg</t>
  </si>
  <si>
    <t>DSC_0609.jpg</t>
  </si>
  <si>
    <t>DSC_0610.jpg</t>
  </si>
  <si>
    <t>DSC_0611.jpg</t>
  </si>
  <si>
    <t>DSC_0612.jpg</t>
  </si>
  <si>
    <t>DSC_0613.jpg</t>
  </si>
  <si>
    <t>DSC_0614.jpg</t>
  </si>
  <si>
    <t>DSC_0615.jpg</t>
  </si>
  <si>
    <t>DSC_0616.jpg</t>
  </si>
  <si>
    <t>DSC_0617.jpg</t>
  </si>
  <si>
    <t>DSC_0618.jpg</t>
  </si>
  <si>
    <t>DSC_0619.jpg</t>
  </si>
  <si>
    <t>DSC_0620.jpg</t>
  </si>
  <si>
    <t>DSC_0621.jpg</t>
  </si>
  <si>
    <t>DSC_0622.jpg</t>
  </si>
  <si>
    <t>DSC_0623.jpg</t>
  </si>
  <si>
    <t>DSC_0624.jpg</t>
  </si>
  <si>
    <t>DSC_0625.jpg</t>
  </si>
  <si>
    <t>DSC_0626.jpg</t>
  </si>
  <si>
    <t>DSC_0627.jpg</t>
  </si>
  <si>
    <t>DSC_0628.jpg</t>
  </si>
  <si>
    <t>DSC_0629.jpg</t>
  </si>
  <si>
    <t>DSC_0630.jpg</t>
  </si>
  <si>
    <t>DSC_0631.jpg</t>
  </si>
  <si>
    <t>DSC_0632.jpg</t>
  </si>
  <si>
    <t>DSC_0633.jpg</t>
  </si>
  <si>
    <t>DSC_0634.jpg</t>
  </si>
  <si>
    <t>DSC_0635.jpg</t>
  </si>
  <si>
    <t>DSC_0637.jpg</t>
  </si>
  <si>
    <t>DSC_0638.jpg</t>
  </si>
  <si>
    <t>DSC_0639.jpg</t>
  </si>
  <si>
    <t>DSC_0640.jpg</t>
  </si>
  <si>
    <t>DSC_0641.jpg</t>
  </si>
  <si>
    <t>DSC_0642.jpg</t>
  </si>
  <si>
    <t>DSC_0643.jpg</t>
  </si>
  <si>
    <t>DSC_0644.jpg</t>
  </si>
  <si>
    <t>DSC_0645.jpg</t>
  </si>
  <si>
    <t>DSC_0646.jpg</t>
  </si>
  <si>
    <t>DSC_0647.jpg</t>
  </si>
  <si>
    <t>DSC_0648.jpg</t>
  </si>
  <si>
    <t>DSC_0649.jpg</t>
  </si>
  <si>
    <t>DSC_0650.jpg</t>
  </si>
  <si>
    <t>DSC_0651.jpg</t>
  </si>
  <si>
    <t>DSC_0652.jpg</t>
  </si>
  <si>
    <t>DSC_0653.jpg</t>
  </si>
  <si>
    <t>DSC_0654.jpg</t>
  </si>
  <si>
    <t>DSC_0655.jpg</t>
  </si>
  <si>
    <t>DSC_0656.jpg</t>
  </si>
  <si>
    <t>DSC_0657.jpg</t>
  </si>
  <si>
    <t>DSC_0658.jpg</t>
  </si>
  <si>
    <t>DSC_0659.jpg</t>
  </si>
  <si>
    <t>DSC_0660.jpg</t>
  </si>
  <si>
    <t>DSC_0661.jpg</t>
  </si>
  <si>
    <t>DSC_0662.jpg</t>
  </si>
  <si>
    <t>DSC_0665.jpg</t>
  </si>
  <si>
    <t>DSC_0666.jpg</t>
  </si>
  <si>
    <t>DSC_0667.jpg</t>
  </si>
  <si>
    <t>DSC_0668.jpg</t>
  </si>
  <si>
    <t>DSC_0669.jpg</t>
  </si>
  <si>
    <t>DSC_0670.jpg</t>
  </si>
  <si>
    <t>DSC_0671.jpg</t>
  </si>
  <si>
    <t>DSC_0672.jpg</t>
  </si>
  <si>
    <t>DSC_0673.jpg</t>
  </si>
  <si>
    <t>DSC_0674.jpg</t>
  </si>
  <si>
    <t>DSC_0675.jpg</t>
  </si>
  <si>
    <t>DSC_0676.jpg</t>
  </si>
  <si>
    <t>DSC_0677.jpg</t>
  </si>
  <si>
    <t>DSC_0678.jpg</t>
  </si>
  <si>
    <t>DSC_0679.jpg</t>
  </si>
  <si>
    <t>DSC_0680.jpg</t>
  </si>
  <si>
    <t>DSC_0681.jpg</t>
  </si>
  <si>
    <t>DSC_0682.jpg</t>
  </si>
  <si>
    <t>DSC_0683.jpg</t>
  </si>
  <si>
    <t>DSC_0684.jpg</t>
  </si>
  <si>
    <t>DSC_0685.jpg</t>
  </si>
  <si>
    <t>DSC_0686.jpg</t>
  </si>
  <si>
    <t>DSC_0687.jpg</t>
  </si>
  <si>
    <t>DSC_0688.jpg</t>
  </si>
  <si>
    <t>DSC_0689.jpg</t>
  </si>
  <si>
    <t>DSC_0690.jpg</t>
  </si>
  <si>
    <t>DSC_0691.jpg</t>
  </si>
  <si>
    <t>DSC_0692.jpg</t>
  </si>
  <si>
    <t>DSC_0693.jpg</t>
  </si>
  <si>
    <t>DSC_0694.jpg</t>
  </si>
  <si>
    <t>DSC_0695.jpg</t>
  </si>
  <si>
    <t>DSC_0696.jpg</t>
  </si>
  <si>
    <t>DSC_0697.jpg</t>
  </si>
  <si>
    <t>DSC_0698.jpg</t>
  </si>
  <si>
    <t>DSC_0699.jpg</t>
  </si>
  <si>
    <t>DSC_0700.jpg</t>
  </si>
  <si>
    <t>DSC_0701.jpg</t>
  </si>
  <si>
    <t>DSC_0702.jpg</t>
  </si>
  <si>
    <t>DSC_0703.jpg</t>
  </si>
  <si>
    <t>DSC_0704.jpg</t>
  </si>
  <si>
    <t>DSC_0705.jpg</t>
  </si>
  <si>
    <t>DSC_0706.jpg</t>
  </si>
  <si>
    <t>DSC_0707.jpg</t>
  </si>
  <si>
    <t>DSC_0708.jpg</t>
  </si>
  <si>
    <t>DSC_0709.jpg</t>
  </si>
  <si>
    <t>DSC_0710.jpg</t>
  </si>
  <si>
    <t>DSC_0711.jpg</t>
  </si>
  <si>
    <t>DSC_0712.jpg</t>
  </si>
  <si>
    <t>DSC_0713.jpg</t>
  </si>
  <si>
    <t>DSC_0714.jpg</t>
  </si>
  <si>
    <t>DSC_0715.jpg</t>
  </si>
  <si>
    <t>DSC_0716.jpg</t>
  </si>
  <si>
    <t>DSC_0717.jpg</t>
  </si>
  <si>
    <t>DSC_0718.jpg</t>
  </si>
  <si>
    <t>DSC_0719.jpg</t>
  </si>
  <si>
    <t>DSC_0720.jpg</t>
  </si>
  <si>
    <t>DSC_0721.jpg</t>
  </si>
  <si>
    <t>DSC_0722.jpg</t>
  </si>
  <si>
    <t>DSC_0723.jpg</t>
  </si>
  <si>
    <t>DSC_0724.jpg</t>
  </si>
  <si>
    <t>DSC_0725.jpg</t>
  </si>
  <si>
    <t>DSC_0726.jpg</t>
  </si>
  <si>
    <t>DSC_0727.jpg</t>
  </si>
  <si>
    <t>DSC_0728.jpg</t>
  </si>
  <si>
    <t>DSC_0729.jpg</t>
  </si>
  <si>
    <t>DSC_0730.jpg</t>
  </si>
  <si>
    <t>DSC_0731.jpg</t>
  </si>
  <si>
    <t>DSC_0732.jpg</t>
  </si>
  <si>
    <t>DSC_0733.jpg</t>
  </si>
  <si>
    <t>DSC_0734.jpg</t>
  </si>
  <si>
    <t>DSC_0736.jpg</t>
  </si>
  <si>
    <t>DSC_0737.jpg</t>
  </si>
  <si>
    <t>DSC_0738.jpg</t>
  </si>
  <si>
    <t>DSC_0739.jpg</t>
  </si>
  <si>
    <t>DSC_0740.jpg</t>
  </si>
  <si>
    <t>DSC_0741.jpg</t>
  </si>
  <si>
    <t>DSC_0742.jpg</t>
  </si>
  <si>
    <t>DSC_0743.jpg</t>
  </si>
  <si>
    <t>DSC_0744.jpg</t>
  </si>
  <si>
    <t>DSC_0745.jpg</t>
  </si>
  <si>
    <t>DSC_0746.jpg</t>
  </si>
  <si>
    <t>DSC_0747.jpg</t>
  </si>
  <si>
    <t>DSC_0749.jpg</t>
  </si>
  <si>
    <t>DSC_0750.jpg</t>
  </si>
  <si>
    <t>DSC_0751.jpg</t>
  </si>
  <si>
    <t>DSC_0752.jpg</t>
  </si>
  <si>
    <t>DSC_0753.jpg</t>
  </si>
  <si>
    <t>DSC_0754.jpg</t>
  </si>
  <si>
    <t>DSC_0755.jpg</t>
  </si>
  <si>
    <t>DSC_0756.jpg</t>
  </si>
  <si>
    <t>DSC_0757.jpg</t>
  </si>
  <si>
    <t>DSC_0758.jpg</t>
  </si>
  <si>
    <t>DSC_0759.jpg</t>
  </si>
  <si>
    <t>DSC_0761.jpg</t>
  </si>
  <si>
    <t>DSC_0762.jpg</t>
  </si>
  <si>
    <t>DSC_0763.jpg</t>
  </si>
  <si>
    <t>DSC_0764.jpg</t>
  </si>
  <si>
    <t>DSC_0765.jpg</t>
  </si>
  <si>
    <t>DSC_0766.jpg</t>
  </si>
  <si>
    <t>DSC_0767.jpg</t>
  </si>
  <si>
    <t>DSC_0768.jpg</t>
  </si>
  <si>
    <t>DSC_0769.jpg</t>
  </si>
  <si>
    <t>DSC_0770.jpg</t>
  </si>
  <si>
    <t>DSC_0771.jpg</t>
  </si>
  <si>
    <t>DSC_0772.jpg</t>
  </si>
  <si>
    <t>DSC_0773.jpg</t>
  </si>
  <si>
    <t>DSC_0774.jpg</t>
  </si>
  <si>
    <t>DSC_0775.jpg</t>
  </si>
  <si>
    <t>DSC_0776.jpg</t>
  </si>
  <si>
    <t>DSC_0777.jpg</t>
  </si>
  <si>
    <t>DSC_0778.jpg</t>
  </si>
  <si>
    <t>DSC_0779.jpg</t>
  </si>
  <si>
    <t>DSC_0780.jpg</t>
  </si>
  <si>
    <t>DSC_0781.jpg</t>
  </si>
  <si>
    <t>DSC_0782.jpg</t>
  </si>
  <si>
    <t>DSC_0783.jpg</t>
  </si>
  <si>
    <t>DSC_0784.jpg</t>
  </si>
  <si>
    <t>DSC_0785.jpg</t>
  </si>
  <si>
    <t>DSC_0786.jpg</t>
  </si>
  <si>
    <t>DSC_0787.jpg</t>
  </si>
  <si>
    <t>DSC_0788.jpg</t>
  </si>
  <si>
    <t>DSC_0789.jpg</t>
  </si>
  <si>
    <t>DSC_0790.jpg</t>
  </si>
  <si>
    <t>DSC_0791.jpg</t>
  </si>
  <si>
    <t>DSC_0792.jpg</t>
  </si>
  <si>
    <t>DSC_0793.jpg</t>
  </si>
  <si>
    <t>DSC_0794.jpg</t>
  </si>
  <si>
    <t>DSC_0795.jpg</t>
  </si>
  <si>
    <t>DSC_0797.jpg</t>
  </si>
  <si>
    <t>DSC_0798.jpg</t>
  </si>
  <si>
    <t>DSC_0799.jpg</t>
  </si>
  <si>
    <t>DSC_0800.jpg</t>
  </si>
  <si>
    <t>DSC_0801.jpg</t>
  </si>
  <si>
    <t>DSC_0802.jpg</t>
  </si>
  <si>
    <t>DSC_0803.jpg</t>
  </si>
  <si>
    <t>DSC_0804.jpg</t>
  </si>
  <si>
    <t>DSC_0805.jpg</t>
  </si>
  <si>
    <t>DSC_0806.jpg</t>
  </si>
  <si>
    <t>DSC_0808.jpg</t>
  </si>
  <si>
    <t>DSC_0810.jpg</t>
  </si>
  <si>
    <t>DSC_0811.jpg</t>
  </si>
  <si>
    <t>DSC_0812.jpg</t>
  </si>
  <si>
    <t>DSC_0813.jpg</t>
  </si>
  <si>
    <t>DSC_0814.jpg</t>
  </si>
  <si>
    <t>DSC_0815.jpg</t>
  </si>
  <si>
    <t>DSC_0816.jpg</t>
  </si>
  <si>
    <t>DSC_0819.jpg</t>
  </si>
  <si>
    <t>DSC_0820.jpg</t>
  </si>
  <si>
    <t>DSC_0821.jpg</t>
  </si>
  <si>
    <t>DSC_0822.jpg</t>
  </si>
  <si>
    <t>DSC_0823.jpg</t>
  </si>
  <si>
    <t>DSC_0824.jpg</t>
  </si>
  <si>
    <t>DSC_0825.jpg</t>
  </si>
  <si>
    <t>DSC_0826.jpg</t>
  </si>
  <si>
    <t>DSC_0827.jpg</t>
  </si>
  <si>
    <t>DSC_0828.jpg</t>
  </si>
  <si>
    <t>DSC_0829.jpg</t>
  </si>
  <si>
    <t>DSC_0830.jpg</t>
  </si>
  <si>
    <t>DSC_0831.jpg</t>
  </si>
  <si>
    <t>DSC_0832.jpg</t>
  </si>
  <si>
    <t>DSC_0833.jpg</t>
  </si>
  <si>
    <t>DSC_0834.jpg</t>
  </si>
  <si>
    <t>DSC_0835.jpg</t>
  </si>
  <si>
    <t>DSC_0836.jpg</t>
  </si>
  <si>
    <t>DSC_0837.jpg</t>
  </si>
  <si>
    <t>DSC_0838.jpg</t>
  </si>
  <si>
    <t>DSC_0839.jpg</t>
  </si>
  <si>
    <t>DSC_0840.jpg</t>
  </si>
  <si>
    <t>DSC_0841.jpg</t>
  </si>
  <si>
    <t>DSC_0842.jpg</t>
  </si>
  <si>
    <t>DSC_0843.jpg</t>
  </si>
  <si>
    <t>DSC_0844.jpg</t>
  </si>
  <si>
    <t>DSC_0845.jpg</t>
  </si>
  <si>
    <t>DSC_0846.jpg</t>
  </si>
  <si>
    <t>DSC_0847.jpg</t>
  </si>
  <si>
    <t>DSC_0848.jpg</t>
  </si>
  <si>
    <t>DSC_0849.jpg</t>
  </si>
  <si>
    <t>DSC_0850.jpg</t>
  </si>
  <si>
    <t>DSC_0851.jpg</t>
  </si>
  <si>
    <t>DSC_0852.jpg</t>
  </si>
  <si>
    <t>DSC_0853.jpg</t>
  </si>
  <si>
    <t>DSC_0854.jpg</t>
  </si>
  <si>
    <t>DSC_0855.jpg</t>
  </si>
  <si>
    <t>DSC_0856.jpg</t>
  </si>
  <si>
    <t>DSC_0857.jpg</t>
  </si>
  <si>
    <t>DSC_0858.jpg</t>
  </si>
  <si>
    <t>DSC_0859.jpg</t>
  </si>
  <si>
    <t>DSC_0870.jpg</t>
  </si>
  <si>
    <t>DSC_0871.jpg</t>
  </si>
  <si>
    <t>DSC_0872.jpg</t>
  </si>
  <si>
    <t>DSC_0873.jpg</t>
  </si>
  <si>
    <t>DSC_0874.jpg</t>
  </si>
  <si>
    <t>DSC_0875.jpg</t>
  </si>
  <si>
    <t>DSC_0876.jpg</t>
  </si>
  <si>
    <t>DSC_0877.jpg</t>
  </si>
  <si>
    <t>DSC_0878.jpg</t>
  </si>
  <si>
    <t>DSC_0879.jpg</t>
  </si>
  <si>
    <t>DSC_0880.jpg</t>
  </si>
  <si>
    <t>DSC_0881.jpg</t>
  </si>
  <si>
    <t>DSC_0882.jpg</t>
  </si>
  <si>
    <t>DSC_0883.jpg</t>
  </si>
  <si>
    <t>DSC_0884.jpg</t>
  </si>
  <si>
    <t>DSC_0885.jpg</t>
  </si>
  <si>
    <t>DSC_0886.jpg</t>
  </si>
  <si>
    <t>DSC_0887.jpg</t>
  </si>
  <si>
    <t>DSC_0888.jpg</t>
  </si>
  <si>
    <t>DSC_0889.jpg</t>
  </si>
  <si>
    <t>DSC_0890.jpg</t>
  </si>
  <si>
    <t>DSC_0892.jpg</t>
  </si>
  <si>
    <t>DSC_0893.jpg</t>
  </si>
  <si>
    <t>DSC_0894.jpg</t>
  </si>
  <si>
    <t>DSC_0895.jpg</t>
  </si>
  <si>
    <t>DSC_0896.jpg</t>
  </si>
  <si>
    <t>DSC_0897.jpg</t>
  </si>
  <si>
    <t>DSC_0898.jpg</t>
  </si>
  <si>
    <t>DSC_0899.jpg</t>
  </si>
  <si>
    <t>DSC_0900.jpg</t>
  </si>
  <si>
    <t>DSC_0901.jpg</t>
  </si>
  <si>
    <t>DSC_0902.jpg</t>
  </si>
  <si>
    <t>DSC_0903.jpg</t>
  </si>
  <si>
    <t>DSC_0904.jpg</t>
  </si>
  <si>
    <t>DSC_0905.jpg</t>
  </si>
  <si>
    <t>DSC_0906.jpg</t>
  </si>
  <si>
    <t>DSC_0907.jpg</t>
  </si>
  <si>
    <t>DSC_0908.jpg</t>
  </si>
  <si>
    <t>DSC_0909.jpg</t>
  </si>
  <si>
    <t>DSC_0910.jpg</t>
  </si>
  <si>
    <t>DSC_0911.jpg</t>
  </si>
  <si>
    <t>DSC_0912.jpg</t>
  </si>
  <si>
    <t>DSC_0913.jpg</t>
  </si>
  <si>
    <t>DSC_0914.jpg</t>
  </si>
  <si>
    <t>DSC_0915.jpg</t>
  </si>
  <si>
    <t>DSC_0916.jpg</t>
  </si>
  <si>
    <t>DSC_0917.jpg</t>
  </si>
  <si>
    <t>DSC_0918.jpg</t>
  </si>
  <si>
    <t>DSC_0919.jpg</t>
  </si>
  <si>
    <t>DSC_0920.jpg</t>
  </si>
  <si>
    <t>DSC_0921.jpg</t>
  </si>
  <si>
    <t>DSC_0922.jpg</t>
  </si>
  <si>
    <t>DSC_0923.jpg</t>
  </si>
  <si>
    <t>DSC_0924.jpg</t>
  </si>
  <si>
    <t>DSC_0925.jpg</t>
  </si>
  <si>
    <t>DSC_0926.jpg</t>
  </si>
  <si>
    <t>DSC_0927.jpg</t>
  </si>
  <si>
    <t>DSC_0928.jpg</t>
  </si>
  <si>
    <t>DSC_0929.jpg</t>
  </si>
  <si>
    <t>DSC_0930.jpg</t>
  </si>
  <si>
    <t>DSC_0931.jpg</t>
  </si>
  <si>
    <t>DSC_0932.jpg</t>
  </si>
  <si>
    <t>DSC_0933.jpg</t>
  </si>
  <si>
    <t>DSC_0934.jpg</t>
  </si>
  <si>
    <t>DSC_0935.jpg</t>
  </si>
  <si>
    <t>DSC_0936.jpg</t>
  </si>
  <si>
    <t>DSC_0937.jpg</t>
  </si>
  <si>
    <t>DSC_0938.jpg</t>
  </si>
  <si>
    <t>DSC_0939.jpg</t>
  </si>
  <si>
    <t>DSC_0940.jpg</t>
  </si>
  <si>
    <t>DSC_0941.jpg</t>
  </si>
  <si>
    <t>DSC_0942.jpg</t>
  </si>
  <si>
    <t>DSC_0943.jpg</t>
  </si>
  <si>
    <t>DSC_0944.jpg</t>
  </si>
  <si>
    <t>DSC_0945.jpg</t>
  </si>
  <si>
    <t>DSC_0946.jpg</t>
  </si>
  <si>
    <t>DSC_0947.jpg</t>
  </si>
  <si>
    <t>DSC_0948.jpg</t>
  </si>
  <si>
    <t>DSC_0949.jpg</t>
  </si>
  <si>
    <t>DSC_0950.jpg</t>
  </si>
  <si>
    <t>DSC_0951.jpg</t>
  </si>
  <si>
    <t>DSC_0952.jpg</t>
  </si>
  <si>
    <t>DSC_0953.jpg</t>
  </si>
  <si>
    <t>DSC_0954.jpg</t>
  </si>
  <si>
    <t>DSC_0955.jpg</t>
  </si>
  <si>
    <t>DSC_0956.jpg</t>
  </si>
  <si>
    <t>DSC_0957.jpg</t>
  </si>
  <si>
    <t>DSC_0958.jpg</t>
  </si>
  <si>
    <t>DSC_0959.jpg</t>
  </si>
  <si>
    <t>DSC_0960.jpg</t>
  </si>
  <si>
    <t>DSC_0961.jpg</t>
  </si>
  <si>
    <t>DSC_0962.jpg</t>
  </si>
  <si>
    <t>DSC_0963.jpg</t>
  </si>
  <si>
    <t>DSC_0964.jpg</t>
  </si>
  <si>
    <t>DSC_0965.jpg</t>
  </si>
  <si>
    <t>DSC_0966.jpg</t>
  </si>
  <si>
    <t>DSC_0967.jpg</t>
  </si>
  <si>
    <t>DSC_0968.jpg</t>
  </si>
  <si>
    <t>DSC_0969.jpg</t>
  </si>
  <si>
    <t>DSC_0970.jpg</t>
  </si>
  <si>
    <t>DSC_0972.jpg</t>
  </si>
  <si>
    <t>DSC_0973.jpg</t>
  </si>
  <si>
    <t>DSC_0974.jpg</t>
  </si>
  <si>
    <t>DSC_0975.jpg</t>
  </si>
  <si>
    <t>DSC_0976.jpg</t>
  </si>
  <si>
    <t>DSC_0977.jpg</t>
  </si>
  <si>
    <t>DSC_0978.jpg</t>
  </si>
  <si>
    <t>DSC_0979.jpg</t>
  </si>
  <si>
    <t>DSC_0980.jpg</t>
  </si>
  <si>
    <t>DSC_0981.jpg</t>
  </si>
  <si>
    <t>DSC_0982.jpg</t>
  </si>
  <si>
    <t>DSC_0983.jpg</t>
  </si>
  <si>
    <t>DSC_0984.jpg</t>
  </si>
  <si>
    <t>DSC_0985.jpg</t>
  </si>
  <si>
    <t>DSC_0986.jpg</t>
  </si>
  <si>
    <t>DSC_0987.jpg</t>
  </si>
  <si>
    <t>DSC_0988.jpg</t>
  </si>
  <si>
    <t>DSC_0989.jpg</t>
  </si>
  <si>
    <t>DSC_0990.jpg</t>
  </si>
  <si>
    <t>DSC_0991.jpg</t>
  </si>
  <si>
    <t>DSC_0992.jpg</t>
  </si>
  <si>
    <t>DSC_0993.jpg</t>
  </si>
  <si>
    <t>DSC_0994.jpg</t>
  </si>
  <si>
    <t>DSC_0995.jpg</t>
  </si>
  <si>
    <t>DSC_0996.jpg</t>
  </si>
  <si>
    <t>DSC_0997.jpg</t>
  </si>
  <si>
    <t>DSC_0998.jpg</t>
  </si>
  <si>
    <t>DSC_0999.jpg</t>
  </si>
  <si>
    <t>DSC_1000.jpg</t>
  </si>
  <si>
    <t>DSC_1001.jpg</t>
  </si>
  <si>
    <t>DSC_1002.jpg</t>
  </si>
  <si>
    <t>DSC_1003.jpg</t>
  </si>
  <si>
    <t>DSC_1004.jpg</t>
  </si>
  <si>
    <t>DSC_1005.jpg</t>
  </si>
  <si>
    <t>DSC_1006.jpg</t>
  </si>
  <si>
    <t>DSC_1007.jpg</t>
  </si>
  <si>
    <t>DSC_1008.jpg</t>
  </si>
  <si>
    <t>DSC_1009.jpg</t>
  </si>
  <si>
    <t>DSC_1010.jpg</t>
  </si>
  <si>
    <t>DSC_1011.jpg</t>
  </si>
  <si>
    <t>DSC_1012.jpg</t>
  </si>
  <si>
    <t>DSC_1013.jpg</t>
  </si>
  <si>
    <t>DSC_1014.jpg</t>
  </si>
  <si>
    <t>DSC_1015.jpg</t>
  </si>
  <si>
    <t>DSC_1016.jpg</t>
  </si>
  <si>
    <t>DSC_1017.jpg</t>
  </si>
  <si>
    <t>DSC_1018.jpg</t>
  </si>
  <si>
    <t>DSC_1019.jpg</t>
  </si>
  <si>
    <t>DSC_1020.jpg</t>
  </si>
  <si>
    <t>DSC_1021.jpg</t>
  </si>
  <si>
    <t>DSC_1022.jpg</t>
  </si>
  <si>
    <t>DSC_1023.jpg</t>
  </si>
  <si>
    <t>DSC_1024.jpg</t>
  </si>
  <si>
    <t>DSC_1025.jpg</t>
  </si>
  <si>
    <t>DSC_1026.jpg</t>
  </si>
  <si>
    <t>DSC_1027.jpg</t>
  </si>
  <si>
    <t>DSC_1028.jpg</t>
  </si>
  <si>
    <t>DSC_1029.jpg</t>
  </si>
  <si>
    <t>DSC_1030.jpg</t>
  </si>
  <si>
    <t>DSC_1031.jpg</t>
  </si>
  <si>
    <t>DSC_1032.jpg</t>
  </si>
  <si>
    <t>DSC_1033.jpg</t>
  </si>
  <si>
    <t>DSC_1034.jpg</t>
  </si>
  <si>
    <t>DSC_1035.jpg</t>
  </si>
  <si>
    <t>DSC_1036.jpg</t>
  </si>
  <si>
    <t>DSC_1037.jpg</t>
  </si>
  <si>
    <t>DSC_1038.jpg</t>
  </si>
  <si>
    <t>DSC_1039.jpg</t>
  </si>
  <si>
    <t>DSC_1040.jpg</t>
  </si>
  <si>
    <t>DSC_1041.jpg</t>
  </si>
  <si>
    <t>DSC_1042.jpg</t>
  </si>
  <si>
    <t>DSC_1043.jpg</t>
  </si>
  <si>
    <t>DSC_1044.jpg</t>
  </si>
  <si>
    <t>DSC_1045.jpg</t>
  </si>
  <si>
    <t>DSC_1046.jpg</t>
  </si>
  <si>
    <t>DSC_1047.jpg</t>
  </si>
  <si>
    <t>DSC_1048.jpg</t>
  </si>
  <si>
    <t>DSC_1049.jpg</t>
  </si>
  <si>
    <t>DSC_1050.jpg</t>
  </si>
  <si>
    <t>DSC_1051.jpg</t>
  </si>
  <si>
    <t>DSC_1052.jpg</t>
  </si>
  <si>
    <t>DSC_1053.jpg</t>
  </si>
  <si>
    <t>DSC_1054.jpg</t>
  </si>
  <si>
    <t>DSC_1055.jpg</t>
  </si>
  <si>
    <t>DSC_1056.jpg</t>
  </si>
  <si>
    <t>DSC_1057.jpg</t>
  </si>
  <si>
    <t>DSC_1058.jpg</t>
  </si>
  <si>
    <t>DSC_1059.jpg</t>
  </si>
  <si>
    <t>DSC_1060.jpg</t>
  </si>
  <si>
    <t>DSC_1061.jpg</t>
  </si>
  <si>
    <t>DSC_1062.jpg</t>
  </si>
  <si>
    <t>DSC_1063.jpg</t>
  </si>
  <si>
    <t>DSC_1064.jpg</t>
  </si>
  <si>
    <t>DSC_1065.jpg</t>
  </si>
  <si>
    <t>DSC_1066.jpg</t>
  </si>
  <si>
    <t>DSC_1067.jpg</t>
  </si>
  <si>
    <t>DSC_1068.jpg</t>
  </si>
  <si>
    <t>DSC_1069.jpg</t>
  </si>
  <si>
    <t>DSC_1070.jpg</t>
  </si>
  <si>
    <t>DSC_1071.jpg</t>
  </si>
  <si>
    <t>DSC_1072.jpg</t>
  </si>
  <si>
    <t>DSC_1073.jpg</t>
  </si>
  <si>
    <t>DSC_1074.jpg</t>
  </si>
  <si>
    <t>DSC_1075.jpg</t>
  </si>
  <si>
    <t>DSC_1076.jpg</t>
  </si>
  <si>
    <t>DSC_1077.jpg</t>
  </si>
  <si>
    <t>DSC_1078.jpg</t>
  </si>
  <si>
    <t>DSC_1079.jpg</t>
  </si>
  <si>
    <t>DSC_1080.jpg</t>
  </si>
  <si>
    <t>DSC_1081.jpg</t>
  </si>
  <si>
    <t>DSC_1082.jpg</t>
  </si>
  <si>
    <t>DSC_1083.jpg</t>
  </si>
  <si>
    <t>DSC_1084.jpg</t>
  </si>
  <si>
    <t>DSC_1085.jpg</t>
  </si>
  <si>
    <t>DSC_1086.jpg</t>
  </si>
  <si>
    <t>DSC_1087.jpg</t>
  </si>
  <si>
    <t>DSC_1088.jpg</t>
  </si>
  <si>
    <t>DSC_1089.jpg</t>
  </si>
  <si>
    <t>DSC_1090.jpg</t>
  </si>
  <si>
    <t>DSC_1091.jpg</t>
  </si>
  <si>
    <t>DSC_1092.jpg</t>
  </si>
  <si>
    <t>DSC_1093.jpg</t>
  </si>
  <si>
    <t>DSC_1094.jpg</t>
  </si>
  <si>
    <t>DSC_1095.jpg</t>
  </si>
  <si>
    <t>DSC_1096.jpg</t>
  </si>
  <si>
    <t>DSC_1097.jpg</t>
  </si>
  <si>
    <t>DSC_1098.jpg</t>
  </si>
  <si>
    <t>DSC_1099.jpg</t>
  </si>
  <si>
    <t>DSC_1100.jpg</t>
  </si>
  <si>
    <t>DSC_1101.jpg</t>
  </si>
  <si>
    <t>DSC_1102.jpg</t>
  </si>
  <si>
    <t>DSC_1103.jpg</t>
  </si>
  <si>
    <t>DSC_1104.jpg</t>
  </si>
  <si>
    <t>DSC_1105.jpg</t>
  </si>
  <si>
    <t>DSC_1106.jpg</t>
  </si>
  <si>
    <t>DSC_1107.jpg</t>
  </si>
  <si>
    <t>DSC_1108.jpg</t>
  </si>
  <si>
    <t>DSC_1109.jpg</t>
  </si>
  <si>
    <t>DSC_1110.jpg</t>
  </si>
  <si>
    <t>DSC_1111.jpg</t>
  </si>
  <si>
    <t>DSC_1112.jpg</t>
  </si>
  <si>
    <t>DSC_1113.jpg</t>
  </si>
  <si>
    <t>DSC_1114.jpg</t>
  </si>
  <si>
    <t>DSC_1115.jpg</t>
  </si>
  <si>
    <t>DSC_1116.jpg</t>
  </si>
  <si>
    <t>DSC_1117.jpg</t>
  </si>
  <si>
    <t>DSC_1118.jpg</t>
  </si>
  <si>
    <t>DSC_1119.jpg</t>
  </si>
  <si>
    <t>DSC_1120.jpg</t>
  </si>
  <si>
    <t>DSC_1121.jpg</t>
  </si>
  <si>
    <t>DSC_1122.jpg</t>
  </si>
  <si>
    <t>DSC_1123.jpg</t>
  </si>
  <si>
    <t>DSC_1124.jpg</t>
  </si>
  <si>
    <t>DSC_1125.jpg</t>
  </si>
  <si>
    <t>DSC_1126.jpg</t>
  </si>
  <si>
    <t>DSC_1127.jpg</t>
  </si>
  <si>
    <t>DSC_1128.jpg</t>
  </si>
  <si>
    <t>DSC_1129.jpg</t>
  </si>
  <si>
    <t>DSC_1130.jpg</t>
  </si>
  <si>
    <t>DSC_1131.jpg</t>
  </si>
  <si>
    <t>DSC_1132.jpg</t>
  </si>
  <si>
    <t>DSC_1133.jpg</t>
  </si>
  <si>
    <t>DSC_1134.jpg</t>
  </si>
  <si>
    <t>DSC_1135.jpg</t>
  </si>
  <si>
    <t>DSC_1136.jpg</t>
  </si>
  <si>
    <t>DSC_1137.jpg</t>
  </si>
  <si>
    <t>DSC_1138.jpg</t>
  </si>
  <si>
    <t>DSC_1139.jpg</t>
  </si>
  <si>
    <t>DSC_1140.jpg</t>
  </si>
  <si>
    <t>DSC_1141.jpg</t>
  </si>
  <si>
    <t>DSC_1142.jpg</t>
  </si>
  <si>
    <t>DSC_1143.jpg</t>
  </si>
  <si>
    <t>DSC_1144.jpg</t>
  </si>
  <si>
    <t>DSC_1145.jpg</t>
  </si>
  <si>
    <t>DSC_1146.jpg</t>
  </si>
  <si>
    <t>DSC_1147.jpg</t>
  </si>
  <si>
    <t>DSC_1148.jpg</t>
  </si>
  <si>
    <t>DSC_1149.jpg</t>
  </si>
  <si>
    <t>DSC_1150.jpg</t>
  </si>
  <si>
    <t>DSC_1151.jpg</t>
  </si>
  <si>
    <t>DSC_1152.jpg</t>
  </si>
  <si>
    <t>DSC_1153.jpg</t>
  </si>
  <si>
    <t>DSC_1154.jpg</t>
  </si>
  <si>
    <t>DSC_1155.jpg</t>
  </si>
  <si>
    <t>DSC_1156.jpg</t>
  </si>
  <si>
    <t>DSC_1157.jpg</t>
  </si>
  <si>
    <t>DSC_1158.jpg</t>
  </si>
  <si>
    <t>DSC_1159.jpg</t>
  </si>
  <si>
    <t>DSC_1160.jpg</t>
  </si>
  <si>
    <t>DSC_1161.jpg</t>
  </si>
  <si>
    <t>DSC_1162.jpg</t>
  </si>
  <si>
    <t>DSC_1163.jpg</t>
  </si>
  <si>
    <t>DSC_1164.jpg</t>
  </si>
  <si>
    <t>DSC_1165.jpg</t>
  </si>
  <si>
    <t>DSC_1166.jpg</t>
  </si>
  <si>
    <t>DSC_1167.jpg</t>
  </si>
  <si>
    <t>DSC_1168.jpg</t>
  </si>
  <si>
    <t>DSC_1169.jpg</t>
  </si>
  <si>
    <t>DSC_1170.jpg</t>
  </si>
  <si>
    <t>DSC_1171.jpg</t>
  </si>
  <si>
    <t>DSC_1172.jpg</t>
  </si>
  <si>
    <t>DSC_1173.jpg</t>
  </si>
  <si>
    <t>DSC_1174.jpg</t>
  </si>
  <si>
    <t>DSC_1175.jpg</t>
  </si>
  <si>
    <t>DSC_1176.jpg</t>
  </si>
  <si>
    <t>DSC_1177.jpg</t>
  </si>
  <si>
    <t>DSC_1178.jpg</t>
  </si>
  <si>
    <t>DSC_1179.jpg</t>
  </si>
  <si>
    <t>DSC_1180.jpg</t>
  </si>
  <si>
    <t>DSC_1181.jpg</t>
  </si>
  <si>
    <t>DSC_1182.jpg</t>
  </si>
  <si>
    <t>chrysolophus</t>
  </si>
  <si>
    <t>Brandt, 1837</t>
  </si>
  <si>
    <t>Spheniscidae</t>
  </si>
  <si>
    <t>Sphenisciforme</t>
  </si>
  <si>
    <t>Macaroni penguin</t>
  </si>
  <si>
    <t>Antarctic Peninsula</t>
  </si>
  <si>
    <t>Antartica</t>
  </si>
  <si>
    <t>SpecificEpithet</t>
  </si>
  <si>
    <t>MZURORN2025-058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</si>
</sst>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10000]0;dd/mm/yyyy"/>
  </numFmts>
  <fonts count="13" x14ac:knownFonts="1">
    <font>
      <sz val="11"/>
      <color theme="1"/>
      <name val="Aptos Narrow"/>
      <family val="2"/>
      <scheme val="minor"/>
    </font>
    <font>
      <sz val="11"/>
      <color theme="1"/>
      <name val="Aptos Narrow"/>
      <family val="2"/>
      <scheme val="minor"/>
    </font>
    <font>
      <b/>
      <sz val="12"/>
      <name val="Aptos Narrow"/>
      <family val="2"/>
    </font>
    <font>
      <b/>
      <sz val="10"/>
      <color indexed="81"/>
      <name val="Calibri"/>
      <family val="2"/>
    </font>
    <font>
      <sz val="10"/>
      <color indexed="81"/>
      <name val="Calibri"/>
      <family val="2"/>
    </font>
    <font>
      <sz val="9"/>
      <color indexed="81"/>
      <name val="Calibri"/>
      <family val="2"/>
    </font>
    <font>
      <b/>
      <sz val="11"/>
      <color theme="1"/>
      <name val="Aptos Narrow"/>
      <family val="2"/>
      <scheme val="minor"/>
    </font>
    <font>
      <b/>
      <sz val="11"/>
      <color rgb="FFFF0000"/>
      <name val="Aptos Narrow"/>
      <family val="2"/>
      <scheme val="minor"/>
    </font>
    <font>
      <sz val="8"/>
      <name val="Aptos Narrow"/>
      <family val="2"/>
      <scheme val="minor"/>
    </font>
    <font>
      <sz val="11"/>
      <color rgb="FFFF0000"/>
      <name val="Aptos Narrow"/>
      <family val="2"/>
      <scheme val="minor"/>
    </font>
    <font>
      <sz val="11"/>
      <name val="Aptos Narrow"/>
      <family val="2"/>
    </font>
    <font>
      <sz val="11"/>
      <name val="Aptos Narrow"/>
      <family val="2"/>
      <scheme val="minor"/>
    </font>
    <font>
      <u/>
      <sz val="11"/>
      <color theme="10"/>
      <name val="Aptos Narrow"/>
      <family val="2"/>
      <scheme val="minor"/>
    </font>
  </fonts>
  <fills count="9">
    <fill>
      <patternFill patternType="none"/>
    </fill>
    <fill>
      <patternFill patternType="gray125"/>
    </fill>
    <fill>
      <patternFill patternType="solid">
        <fgColor rgb="FFFFFFCC"/>
      </patternFill>
    </fill>
    <fill>
      <patternFill patternType="solid">
        <fgColor rgb="FFFFFFCC"/>
        <bgColor rgb="FFFFFFFF"/>
      </patternFill>
    </fill>
    <fill>
      <patternFill patternType="solid">
        <fgColor rgb="FFDAF2D0"/>
        <bgColor rgb="FF000000"/>
      </patternFill>
    </fill>
    <fill>
      <patternFill patternType="solid">
        <fgColor rgb="FFFFFF00"/>
        <bgColor indexed="64"/>
      </patternFill>
    </fill>
    <fill>
      <patternFill patternType="solid">
        <fgColor theme="3" tint="0.749992370372631"/>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2" borderId="1" applyNumberFormat="0" applyFont="0" applyAlignment="0" applyProtection="0"/>
    <xf numFmtId="0" fontId="12" fillId="0" borderId="0" applyNumberFormat="0" applyFill="0" applyBorder="0" applyAlignment="0" applyProtection="0"/>
  </cellStyleXfs>
  <cellXfs count="36">
    <xf numFmtId="0" fontId="0" fillId="0" borderId="0" xfId="0"/>
    <xf numFmtId="0" fontId="6" fillId="5" borderId="0" xfId="0" applyFont="1" applyFill="1"/>
    <xf numFmtId="0" fontId="6" fillId="5" borderId="0" xfId="0" applyFont="1" applyFill="1" applyAlignment="1">
      <alignment horizontal="center" vertical="center"/>
    </xf>
    <xf numFmtId="0" fontId="6" fillId="0" borderId="0" xfId="0" applyFont="1"/>
    <xf numFmtId="0" fontId="7" fillId="0" borderId="0" xfId="0" applyFont="1"/>
    <xf numFmtId="0" fontId="0" fillId="0" borderId="0" xfId="0" pivotButton="1"/>
    <xf numFmtId="0" fontId="0" fillId="0" borderId="0" xfId="0" applyAlignment="1">
      <alignment horizontal="left"/>
    </xf>
    <xf numFmtId="0" fontId="6" fillId="0" borderId="0" xfId="0" applyFont="1" applyAlignment="1">
      <alignment horizontal="right"/>
    </xf>
    <xf numFmtId="0" fontId="6" fillId="0" borderId="0" xfId="0" applyFont="1" applyAlignment="1">
      <alignment horizontal="center" vertical="center"/>
    </xf>
    <xf numFmtId="0" fontId="2" fillId="3" borderId="1" xfId="1" applyFont="1" applyFill="1" applyAlignment="1">
      <alignment horizontal="center" vertical="center"/>
    </xf>
    <xf numFmtId="0" fontId="2" fillId="4" borderId="1" xfId="1" applyFont="1" applyFill="1" applyAlignment="1">
      <alignment horizontal="center" vertical="center"/>
    </xf>
    <xf numFmtId="0" fontId="9" fillId="0" borderId="0" xfId="0" applyFont="1" applyAlignment="1">
      <alignment horizontal="left"/>
    </xf>
    <xf numFmtId="0" fontId="10" fillId="0" borderId="0" xfId="0" applyFont="1" applyAlignment="1">
      <alignment horizontal="left"/>
    </xf>
    <xf numFmtId="0" fontId="11" fillId="0" borderId="0" xfId="0" applyFont="1"/>
    <xf numFmtId="0" fontId="10" fillId="0" borderId="0" xfId="0" applyFont="1"/>
    <xf numFmtId="0" fontId="11" fillId="0" borderId="0" xfId="0" applyFont="1" applyAlignment="1">
      <alignment horizontal="left"/>
    </xf>
    <xf numFmtId="0" fontId="9" fillId="5" borderId="0" xfId="0" applyFont="1" applyFill="1" applyAlignment="1">
      <alignment horizontal="left"/>
    </xf>
    <xf numFmtId="0" fontId="0" fillId="6" borderId="0" xfId="0" applyFill="1" applyAlignment="1">
      <alignment horizontal="left"/>
    </xf>
    <xf numFmtId="0" fontId="11" fillId="7" borderId="0" xfId="0" applyFont="1" applyFill="1" applyAlignment="1">
      <alignment horizontal="left"/>
    </xf>
    <xf numFmtId="0" fontId="10" fillId="5" borderId="0" xfId="0" applyFont="1" applyFill="1" applyAlignment="1">
      <alignment horizontal="left"/>
    </xf>
    <xf numFmtId="0" fontId="2" fillId="4" borderId="0" xfId="0" applyFont="1" applyFill="1" applyAlignment="1">
      <alignment horizontal="center" vertical="center"/>
    </xf>
    <xf numFmtId="0" fontId="2" fillId="0" borderId="0" xfId="0" applyFont="1" applyAlignment="1">
      <alignment horizontal="center" vertical="center"/>
    </xf>
    <xf numFmtId="0" fontId="2" fillId="0" borderId="0" xfId="0" applyFont="1"/>
    <xf numFmtId="1" fontId="10" fillId="0" borderId="0" xfId="0" applyNumberFormat="1" applyFont="1" applyAlignment="1">
      <alignment horizontal="left"/>
    </xf>
    <xf numFmtId="164" fontId="10" fillId="0" borderId="0" xfId="0" applyNumberFormat="1" applyFont="1" applyAlignment="1">
      <alignment horizontal="left"/>
    </xf>
    <xf numFmtId="14" fontId="10" fillId="0" borderId="0" xfId="0" applyNumberFormat="1" applyFont="1" applyAlignment="1">
      <alignment horizontal="left"/>
    </xf>
    <xf numFmtId="0" fontId="10" fillId="5" borderId="0" xfId="0" applyFont="1" applyFill="1"/>
    <xf numFmtId="0" fontId="12" fillId="0" borderId="0" xfId="2"/>
    <xf numFmtId="0" fontId="10" fillId="7" borderId="0" xfId="0" applyFont="1" applyFill="1" applyAlignment="1">
      <alignment horizontal="left"/>
    </xf>
    <xf numFmtId="14" fontId="10" fillId="7" borderId="0" xfId="0" applyNumberFormat="1" applyFont="1" applyFill="1" applyAlignment="1">
      <alignment horizontal="left"/>
    </xf>
    <xf numFmtId="1" fontId="10" fillId="7" borderId="0" xfId="0" applyNumberFormat="1" applyFont="1" applyFill="1" applyAlignment="1">
      <alignment horizontal="left"/>
    </xf>
    <xf numFmtId="164" fontId="10" fillId="7" borderId="0" xfId="0" applyNumberFormat="1" applyFont="1" applyFill="1" applyAlignment="1">
      <alignment horizontal="left"/>
    </xf>
    <xf numFmtId="0" fontId="10" fillId="7" borderId="0" xfId="0" applyFont="1" applyFill="1"/>
    <xf numFmtId="0" fontId="11" fillId="7" borderId="0" xfId="0" applyFont="1" applyFill="1"/>
    <xf numFmtId="0" fontId="0" fillId="8" borderId="0" xfId="0" applyFill="1" applyAlignment="1">
      <alignment horizontal="center"/>
    </xf>
    <xf numFmtId="0" fontId="6" fillId="5" borderId="0" xfId="0" applyFont="1" applyFill="1" applyAlignment="1">
      <alignment horizontal="center" vertical="center"/>
    </xf>
  </cellXfs>
  <cellStyles count="3">
    <cellStyle name="Collegamento ipertestuale" xfId="2" builtinId="8"/>
    <cellStyle name="Normale" xfId="0" builtinId="0"/>
    <cellStyle name="Nota" xfId="1" builtinId="10"/>
  </cellStyles>
  <dxfs count="61">
    <dxf>
      <fill>
        <patternFill patternType="solid">
          <bgColor theme="3" tint="0.749992370372631"/>
        </patternFill>
      </fill>
    </dxf>
    <dxf>
      <fill>
        <patternFill patternType="solid">
          <bgColor theme="3" tint="0.749992370372631"/>
        </patternFill>
      </fill>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64" formatCode="[&lt;10000]0;dd/mm/yyyy"/>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[MZUR_ornithology_GBIF_2_DEF.xlsx]Distribuzione anni!Tabella pivot4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'Distribuzione anni'!$B$3</c:f>
              <c:strCache>
                <c:ptCount val="1"/>
                <c:pt idx="0">
                  <c:v>Totale</c:v>
                </c:pt>
              </c:strCache>
            </c:strRef>
          </c:tx>
          <c:spPr>
            <a:solidFill>
              <a:schemeClr val="accent1"/>
            </a:solidFill>
            <a:ln>
              <a:noFill/>
            </a:ln>
            <a:effectLst/>
          </c:spPr>
          <c:invertIfNegative val="0"/>
          <c:cat>
            <c:strRef>
              <c:f>'Distribuzione anni'!$A$4:$A$56</c:f>
              <c:strCache>
                <c:ptCount val="52"/>
                <c:pt idx="0">
                  <c:v>1875</c:v>
                </c:pt>
                <c:pt idx="1">
                  <c:v>1876</c:v>
                </c:pt>
                <c:pt idx="2">
                  <c:v>1878</c:v>
                </c:pt>
                <c:pt idx="3">
                  <c:v>1881</c:v>
                </c:pt>
                <c:pt idx="4">
                  <c:v>1885</c:v>
                </c:pt>
                <c:pt idx="5">
                  <c:v>1886</c:v>
                </c:pt>
                <c:pt idx="6">
                  <c:v>1887</c:v>
                </c:pt>
                <c:pt idx="7">
                  <c:v>1888</c:v>
                </c:pt>
                <c:pt idx="8">
                  <c:v>1889</c:v>
                </c:pt>
                <c:pt idx="9">
                  <c:v>1890</c:v>
                </c:pt>
                <c:pt idx="10">
                  <c:v>1891</c:v>
                </c:pt>
                <c:pt idx="11">
                  <c:v>1892</c:v>
                </c:pt>
                <c:pt idx="12">
                  <c:v>1893</c:v>
                </c:pt>
                <c:pt idx="13">
                  <c:v>1895</c:v>
                </c:pt>
                <c:pt idx="14">
                  <c:v>1896</c:v>
                </c:pt>
                <c:pt idx="15">
                  <c:v>1897</c:v>
                </c:pt>
                <c:pt idx="16">
                  <c:v>1898</c:v>
                </c:pt>
                <c:pt idx="17">
                  <c:v>1899</c:v>
                </c:pt>
                <c:pt idx="18">
                  <c:v>1901</c:v>
                </c:pt>
                <c:pt idx="19">
                  <c:v>1902</c:v>
                </c:pt>
                <c:pt idx="20">
                  <c:v>1905</c:v>
                </c:pt>
                <c:pt idx="21">
                  <c:v>1916</c:v>
                </c:pt>
                <c:pt idx="22">
                  <c:v>1919</c:v>
                </c:pt>
                <c:pt idx="23">
                  <c:v>1921</c:v>
                </c:pt>
                <c:pt idx="24">
                  <c:v>1922</c:v>
                </c:pt>
                <c:pt idx="25">
                  <c:v>1946</c:v>
                </c:pt>
                <c:pt idx="26">
                  <c:v>1947</c:v>
                </c:pt>
                <c:pt idx="27">
                  <c:v>1948</c:v>
                </c:pt>
                <c:pt idx="28">
                  <c:v>1949</c:v>
                </c:pt>
                <c:pt idx="29">
                  <c:v>1950</c:v>
                </c:pt>
                <c:pt idx="30">
                  <c:v>1951</c:v>
                </c:pt>
                <c:pt idx="31">
                  <c:v>1952</c:v>
                </c:pt>
                <c:pt idx="32">
                  <c:v>1954</c:v>
                </c:pt>
                <c:pt idx="33">
                  <c:v>1955</c:v>
                </c:pt>
                <c:pt idx="34">
                  <c:v>1956</c:v>
                </c:pt>
                <c:pt idx="35">
                  <c:v>1957</c:v>
                </c:pt>
                <c:pt idx="36">
                  <c:v>1958</c:v>
                </c:pt>
                <c:pt idx="37">
                  <c:v>1959</c:v>
                </c:pt>
                <c:pt idx="38">
                  <c:v>1960</c:v>
                </c:pt>
                <c:pt idx="39">
                  <c:v>1961</c:v>
                </c:pt>
                <c:pt idx="40">
                  <c:v>1964</c:v>
                </c:pt>
                <c:pt idx="41">
                  <c:v>1965</c:v>
                </c:pt>
                <c:pt idx="42">
                  <c:v>1967</c:v>
                </c:pt>
                <c:pt idx="43">
                  <c:v>1973</c:v>
                </c:pt>
                <c:pt idx="44">
                  <c:v>1975</c:v>
                </c:pt>
                <c:pt idx="45">
                  <c:v>1977</c:v>
                </c:pt>
                <c:pt idx="46">
                  <c:v>1978</c:v>
                </c:pt>
                <c:pt idx="47">
                  <c:v>1981</c:v>
                </c:pt>
                <c:pt idx="48">
                  <c:v>1982</c:v>
                </c:pt>
                <c:pt idx="49">
                  <c:v>3104</c:v>
                </c:pt>
                <c:pt idx="50">
                  <c:v>7063</c:v>
                </c:pt>
              </c:strCache>
            </c:strRef>
          </c:cat>
          <c:val>
            <c:numRef>
              <c:f>'Distribuzione anni'!$B$4:$B$56</c:f>
              <c:numCache>
                <c:formatCode>General</c:formatCode>
                <c:ptCount val="52"/>
                <c:pt idx="0">
                  <c:v>9</c:v>
                </c:pt>
                <c:pt idx="1">
                  <c:v>1</c:v>
                </c:pt>
                <c:pt idx="2">
                  <c:v>1</c:v>
                </c:pt>
                <c:pt idx="3">
                  <c:v>1</c:v>
                </c:pt>
                <c:pt idx="4">
                  <c:v>2</c:v>
                </c:pt>
                <c:pt idx="5">
                  <c:v>2</c:v>
                </c:pt>
                <c:pt idx="6">
                  <c:v>1</c:v>
                </c:pt>
                <c:pt idx="7">
                  <c:v>5</c:v>
                </c:pt>
                <c:pt idx="8">
                  <c:v>1</c:v>
                </c:pt>
                <c:pt idx="9">
                  <c:v>2</c:v>
                </c:pt>
                <c:pt idx="10">
                  <c:v>3</c:v>
                </c:pt>
                <c:pt idx="11">
                  <c:v>3</c:v>
                </c:pt>
                <c:pt idx="12">
                  <c:v>2</c:v>
                </c:pt>
                <c:pt idx="13">
                  <c:v>3</c:v>
                </c:pt>
                <c:pt idx="14">
                  <c:v>4</c:v>
                </c:pt>
                <c:pt idx="15">
                  <c:v>2</c:v>
                </c:pt>
                <c:pt idx="16">
                  <c:v>2</c:v>
                </c:pt>
                <c:pt idx="17">
                  <c:v>1</c:v>
                </c:pt>
                <c:pt idx="18">
                  <c:v>5</c:v>
                </c:pt>
                <c:pt idx="19">
                  <c:v>2</c:v>
                </c:pt>
                <c:pt idx="20">
                  <c:v>1</c:v>
                </c:pt>
                <c:pt idx="21">
                  <c:v>1</c:v>
                </c:pt>
                <c:pt idx="22">
                  <c:v>1</c:v>
                </c:pt>
                <c:pt idx="23">
                  <c:v>1</c:v>
                </c:pt>
                <c:pt idx="24">
                  <c:v>1</c:v>
                </c:pt>
                <c:pt idx="25">
                  <c:v>1</c:v>
                </c:pt>
                <c:pt idx="26">
                  <c:v>1</c:v>
                </c:pt>
                <c:pt idx="27">
                  <c:v>1</c:v>
                </c:pt>
                <c:pt idx="28">
                  <c:v>1</c:v>
                </c:pt>
                <c:pt idx="29">
                  <c:v>2</c:v>
                </c:pt>
                <c:pt idx="30">
                  <c:v>2</c:v>
                </c:pt>
                <c:pt idx="31">
                  <c:v>2</c:v>
                </c:pt>
                <c:pt idx="32">
                  <c:v>1</c:v>
                </c:pt>
                <c:pt idx="33">
                  <c:v>1</c:v>
                </c:pt>
                <c:pt idx="34">
                  <c:v>19</c:v>
                </c:pt>
                <c:pt idx="35">
                  <c:v>18</c:v>
                </c:pt>
                <c:pt idx="36">
                  <c:v>25</c:v>
                </c:pt>
                <c:pt idx="37">
                  <c:v>26</c:v>
                </c:pt>
                <c:pt idx="38">
                  <c:v>23</c:v>
                </c:pt>
                <c:pt idx="39">
                  <c:v>14</c:v>
                </c:pt>
                <c:pt idx="40">
                  <c:v>6</c:v>
                </c:pt>
                <c:pt idx="41">
                  <c:v>1</c:v>
                </c:pt>
                <c:pt idx="42">
                  <c:v>1</c:v>
                </c:pt>
                <c:pt idx="43">
                  <c:v>1</c:v>
                </c:pt>
                <c:pt idx="44">
                  <c:v>1</c:v>
                </c:pt>
                <c:pt idx="45">
                  <c:v>1</c:v>
                </c:pt>
                <c:pt idx="46">
                  <c:v>4</c:v>
                </c:pt>
                <c:pt idx="47">
                  <c:v>1</c:v>
                </c:pt>
                <c:pt idx="48">
                  <c:v>1</c:v>
                </c:pt>
                <c:pt idx="49">
                  <c:v>1</c:v>
                </c:pt>
                <c:pt idx="50">
                  <c:v>1</c:v>
                </c:pt>
                <c:pt idx="51">
                  <c:v>85</c:v>
                </c:pt>
              </c:numCache>
            </c:numRef>
          </c:val>
          <c:extLst>
            <c:ext xmlns:c16="http://schemas.microsoft.com/office/drawing/2014/chart" uri="{C3380CC4-5D6E-409C-BE32-E72D297353CC}">
              <c16:uniqueId val="{00000000-0193-43A9-8877-5F5E93BDFE85}"/>
            </c:ext>
          </c:extLst>
        </c:ser>
        <c:dLbls>
          <c:showLegendKey val="0"/>
          <c:showVal val="0"/>
          <c:showCatName val="0"/>
          <c:showSerName val="0"/>
          <c:showPercent val="0"/>
          <c:showBubbleSize val="0"/>
        </c:dLbls>
        <c:gapWidth val="219"/>
        <c:overlap val="-27"/>
        <c:axId val="786280944"/>
        <c:axId val="786279984"/>
      </c:barChart>
      <c:catAx>
        <c:axId val="7862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86279984"/>
        <c:crosses val="autoZero"/>
        <c:auto val="1"/>
        <c:lblAlgn val="ctr"/>
        <c:lblOffset val="100"/>
        <c:noMultiLvlLbl val="0"/>
      </c:catAx>
      <c:valAx>
        <c:axId val="78627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8628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Specimens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solidFill>
              <a:schemeClr val="accent1"/>
            </a:solidFill>
            <a:ln>
              <a:noFill/>
            </a:ln>
            <a:effectLst/>
          </c:spPr>
          <c:invertIfNegative val="0"/>
          <c:cat>
            <c:numRef>
              <c:f>'Distribuzione anni'!$A$58:$A$114</c:f>
              <c:numCache>
                <c:formatCode>General</c:formatCode>
                <c:ptCount val="57"/>
                <c:pt idx="0">
                  <c:v>1875</c:v>
                </c:pt>
                <c:pt idx="1">
                  <c:v>1876</c:v>
                </c:pt>
                <c:pt idx="2">
                  <c:v>1878</c:v>
                </c:pt>
                <c:pt idx="3">
                  <c:v>1880</c:v>
                </c:pt>
                <c:pt idx="4">
                  <c:v>1881</c:v>
                </c:pt>
                <c:pt idx="5">
                  <c:v>1885</c:v>
                </c:pt>
                <c:pt idx="6">
                  <c:v>1886</c:v>
                </c:pt>
                <c:pt idx="7">
                  <c:v>1887</c:v>
                </c:pt>
                <c:pt idx="8">
                  <c:v>1888</c:v>
                </c:pt>
                <c:pt idx="9">
                  <c:v>1889</c:v>
                </c:pt>
                <c:pt idx="10">
                  <c:v>1890</c:v>
                </c:pt>
                <c:pt idx="11">
                  <c:v>1891</c:v>
                </c:pt>
                <c:pt idx="12">
                  <c:v>1892</c:v>
                </c:pt>
                <c:pt idx="13">
                  <c:v>1893</c:v>
                </c:pt>
                <c:pt idx="14">
                  <c:v>1895</c:v>
                </c:pt>
                <c:pt idx="15">
                  <c:v>1896</c:v>
                </c:pt>
                <c:pt idx="16">
                  <c:v>1897</c:v>
                </c:pt>
                <c:pt idx="17">
                  <c:v>1898</c:v>
                </c:pt>
                <c:pt idx="18">
                  <c:v>1899</c:v>
                </c:pt>
                <c:pt idx="19">
                  <c:v>1900</c:v>
                </c:pt>
                <c:pt idx="20">
                  <c:v>1901</c:v>
                </c:pt>
                <c:pt idx="21">
                  <c:v>1902</c:v>
                </c:pt>
                <c:pt idx="22">
                  <c:v>1905</c:v>
                </c:pt>
                <c:pt idx="23">
                  <c:v>1908</c:v>
                </c:pt>
                <c:pt idx="24">
                  <c:v>1910</c:v>
                </c:pt>
                <c:pt idx="25">
                  <c:v>1916</c:v>
                </c:pt>
                <c:pt idx="26">
                  <c:v>1919</c:v>
                </c:pt>
                <c:pt idx="27">
                  <c:v>1920</c:v>
                </c:pt>
                <c:pt idx="28">
                  <c:v>1921</c:v>
                </c:pt>
                <c:pt idx="29">
                  <c:v>1922</c:v>
                </c:pt>
                <c:pt idx="30">
                  <c:v>1946</c:v>
                </c:pt>
                <c:pt idx="31">
                  <c:v>1947</c:v>
                </c:pt>
                <c:pt idx="32">
                  <c:v>1948</c:v>
                </c:pt>
                <c:pt idx="33">
                  <c:v>1949</c:v>
                </c:pt>
                <c:pt idx="34">
                  <c:v>1950</c:v>
                </c:pt>
                <c:pt idx="35">
                  <c:v>1951</c:v>
                </c:pt>
                <c:pt idx="36">
                  <c:v>1952</c:v>
                </c:pt>
                <c:pt idx="37">
                  <c:v>1954</c:v>
                </c:pt>
                <c:pt idx="38">
                  <c:v>1955</c:v>
                </c:pt>
                <c:pt idx="39">
                  <c:v>1956</c:v>
                </c:pt>
                <c:pt idx="40">
                  <c:v>1957</c:v>
                </c:pt>
                <c:pt idx="41">
                  <c:v>1958</c:v>
                </c:pt>
                <c:pt idx="42">
                  <c:v>1959</c:v>
                </c:pt>
                <c:pt idx="43">
                  <c:v>1960</c:v>
                </c:pt>
                <c:pt idx="44">
                  <c:v>1961</c:v>
                </c:pt>
                <c:pt idx="45">
                  <c:v>1963</c:v>
                </c:pt>
                <c:pt idx="46">
                  <c:v>1964</c:v>
                </c:pt>
                <c:pt idx="47">
                  <c:v>1965</c:v>
                </c:pt>
                <c:pt idx="48">
                  <c:v>1967</c:v>
                </c:pt>
                <c:pt idx="49">
                  <c:v>1970</c:v>
                </c:pt>
                <c:pt idx="50">
                  <c:v>1972</c:v>
                </c:pt>
                <c:pt idx="51">
                  <c:v>1973</c:v>
                </c:pt>
                <c:pt idx="52">
                  <c:v>1975</c:v>
                </c:pt>
                <c:pt idx="53">
                  <c:v>1977</c:v>
                </c:pt>
                <c:pt idx="54">
                  <c:v>1978</c:v>
                </c:pt>
                <c:pt idx="55">
                  <c:v>1981</c:v>
                </c:pt>
                <c:pt idx="56">
                  <c:v>1982</c:v>
                </c:pt>
              </c:numCache>
            </c:numRef>
          </c:cat>
          <c:val>
            <c:numRef>
              <c:f>'Distribuzione anni'!$B$58:$B$114</c:f>
              <c:numCache>
                <c:formatCode>General</c:formatCode>
                <c:ptCount val="57"/>
                <c:pt idx="0">
                  <c:v>12</c:v>
                </c:pt>
                <c:pt idx="1">
                  <c:v>1</c:v>
                </c:pt>
                <c:pt idx="2">
                  <c:v>1</c:v>
                </c:pt>
                <c:pt idx="3">
                  <c:v>1</c:v>
                </c:pt>
                <c:pt idx="4">
                  <c:v>1</c:v>
                </c:pt>
                <c:pt idx="5">
                  <c:v>4</c:v>
                </c:pt>
                <c:pt idx="6">
                  <c:v>4</c:v>
                </c:pt>
                <c:pt idx="7">
                  <c:v>3</c:v>
                </c:pt>
                <c:pt idx="8">
                  <c:v>5</c:v>
                </c:pt>
                <c:pt idx="9">
                  <c:v>2</c:v>
                </c:pt>
                <c:pt idx="10">
                  <c:v>5</c:v>
                </c:pt>
                <c:pt idx="11">
                  <c:v>3</c:v>
                </c:pt>
                <c:pt idx="12">
                  <c:v>3</c:v>
                </c:pt>
                <c:pt idx="13">
                  <c:v>2</c:v>
                </c:pt>
                <c:pt idx="14">
                  <c:v>5</c:v>
                </c:pt>
                <c:pt idx="15">
                  <c:v>6</c:v>
                </c:pt>
                <c:pt idx="16">
                  <c:v>2</c:v>
                </c:pt>
                <c:pt idx="17">
                  <c:v>3</c:v>
                </c:pt>
                <c:pt idx="18">
                  <c:v>1</c:v>
                </c:pt>
                <c:pt idx="19">
                  <c:v>1</c:v>
                </c:pt>
                <c:pt idx="20">
                  <c:v>6</c:v>
                </c:pt>
                <c:pt idx="21">
                  <c:v>2</c:v>
                </c:pt>
                <c:pt idx="22">
                  <c:v>1</c:v>
                </c:pt>
                <c:pt idx="23">
                  <c:v>1</c:v>
                </c:pt>
                <c:pt idx="24">
                  <c:v>1</c:v>
                </c:pt>
                <c:pt idx="25">
                  <c:v>1</c:v>
                </c:pt>
                <c:pt idx="26">
                  <c:v>2</c:v>
                </c:pt>
                <c:pt idx="27">
                  <c:v>8</c:v>
                </c:pt>
                <c:pt idx="28">
                  <c:v>1</c:v>
                </c:pt>
                <c:pt idx="29">
                  <c:v>3</c:v>
                </c:pt>
                <c:pt idx="30">
                  <c:v>1</c:v>
                </c:pt>
                <c:pt idx="31">
                  <c:v>1</c:v>
                </c:pt>
                <c:pt idx="32">
                  <c:v>1</c:v>
                </c:pt>
                <c:pt idx="33">
                  <c:v>1</c:v>
                </c:pt>
                <c:pt idx="34">
                  <c:v>3</c:v>
                </c:pt>
                <c:pt idx="35">
                  <c:v>2</c:v>
                </c:pt>
                <c:pt idx="36">
                  <c:v>2</c:v>
                </c:pt>
                <c:pt idx="37">
                  <c:v>1</c:v>
                </c:pt>
                <c:pt idx="38">
                  <c:v>2</c:v>
                </c:pt>
                <c:pt idx="39">
                  <c:v>20</c:v>
                </c:pt>
                <c:pt idx="40">
                  <c:v>21</c:v>
                </c:pt>
                <c:pt idx="41">
                  <c:v>27</c:v>
                </c:pt>
                <c:pt idx="42">
                  <c:v>33</c:v>
                </c:pt>
                <c:pt idx="43">
                  <c:v>38</c:v>
                </c:pt>
                <c:pt idx="44">
                  <c:v>19</c:v>
                </c:pt>
                <c:pt idx="45">
                  <c:v>1</c:v>
                </c:pt>
                <c:pt idx="46">
                  <c:v>7</c:v>
                </c:pt>
                <c:pt idx="47">
                  <c:v>1</c:v>
                </c:pt>
                <c:pt idx="48">
                  <c:v>1</c:v>
                </c:pt>
                <c:pt idx="49">
                  <c:v>2</c:v>
                </c:pt>
                <c:pt idx="50">
                  <c:v>1</c:v>
                </c:pt>
                <c:pt idx="51">
                  <c:v>2</c:v>
                </c:pt>
                <c:pt idx="52">
                  <c:v>1</c:v>
                </c:pt>
                <c:pt idx="53">
                  <c:v>2</c:v>
                </c:pt>
                <c:pt idx="54">
                  <c:v>14</c:v>
                </c:pt>
                <c:pt idx="55">
                  <c:v>1</c:v>
                </c:pt>
                <c:pt idx="56">
                  <c:v>1</c:v>
                </c:pt>
              </c:numCache>
            </c:numRef>
          </c:val>
          <c:extLst>
            <c:ext xmlns:c16="http://schemas.microsoft.com/office/drawing/2014/chart" uri="{C3380CC4-5D6E-409C-BE32-E72D297353CC}">
              <c16:uniqueId val="{00000000-45B1-4EE1-A273-85DF8E34648D}"/>
            </c:ext>
          </c:extLst>
        </c:ser>
        <c:dLbls>
          <c:showLegendKey val="0"/>
          <c:showVal val="0"/>
          <c:showCatName val="0"/>
          <c:showSerName val="0"/>
          <c:showPercent val="0"/>
          <c:showBubbleSize val="0"/>
        </c:dLbls>
        <c:gapWidth val="219"/>
        <c:overlap val="-27"/>
        <c:axId val="177619616"/>
        <c:axId val="177636896"/>
      </c:barChart>
      <c:catAx>
        <c:axId val="1776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7636896"/>
        <c:crosses val="autoZero"/>
        <c:auto val="1"/>
        <c:lblAlgn val="ctr"/>
        <c:lblOffset val="100"/>
        <c:noMultiLvlLbl val="0"/>
      </c:catAx>
      <c:valAx>
        <c:axId val="17763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7619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600075</xdr:colOff>
      <xdr:row>8</xdr:row>
      <xdr:rowOff>185737</xdr:rowOff>
    </xdr:from>
    <xdr:to>
      <xdr:col>17</xdr:col>
      <xdr:colOff>161925</xdr:colOff>
      <xdr:row>23</xdr:row>
      <xdr:rowOff>71437</xdr:rowOff>
    </xdr:to>
    <xdr:graphicFrame macro="">
      <xdr:nvGraphicFramePr>
        <xdr:cNvPr id="2" name="Grafico 1">
          <a:extLst>
            <a:ext uri="{FF2B5EF4-FFF2-40B4-BE49-F238E27FC236}">
              <a16:creationId xmlns:a16="http://schemas.microsoft.com/office/drawing/2014/main" id="{9A4D4B92-AE71-0701-8787-7978092E6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xdr:colOff>
      <xdr:row>90</xdr:row>
      <xdr:rowOff>52387</xdr:rowOff>
    </xdr:from>
    <xdr:to>
      <xdr:col>18</xdr:col>
      <xdr:colOff>328612</xdr:colOff>
      <xdr:row>104</xdr:row>
      <xdr:rowOff>128587</xdr:rowOff>
    </xdr:to>
    <xdr:graphicFrame macro="">
      <xdr:nvGraphicFramePr>
        <xdr:cNvPr id="5" name="Grafico 4">
          <a:extLst>
            <a:ext uri="{FF2B5EF4-FFF2-40B4-BE49-F238E27FC236}">
              <a16:creationId xmlns:a16="http://schemas.microsoft.com/office/drawing/2014/main" id="{0DEA787A-837C-2E68-6DC8-EC8BDB291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034.402069560187" createdVersion="8" refreshedVersion="8" minRefreshableVersion="3" recordCount="298" xr:uid="{9D30CBB1-E9FF-45ED-86A8-A3EA7B1B2504}">
  <cacheSource type="worksheet">
    <worksheetSource name="tblDati"/>
  </cacheSource>
  <cacheFields count="56">
    <cacheField name="occurrenceID" numFmtId="0">
      <sharedItems/>
    </cacheField>
    <cacheField name="basisOfRecord" numFmtId="0">
      <sharedItems/>
    </cacheField>
    <cacheField name="eventDate" numFmtId="0">
      <sharedItems containsDate="1" containsMixedTypes="1" minDate="1900-01-03T06:38:04" maxDate="1965-01-01T00:00:00"/>
    </cacheField>
    <cacheField name="startDayOfYear" numFmtId="0">
      <sharedItems containsMixedTypes="1" containsNumber="1" containsInteger="1" minValue="6" maxValue="1978"/>
    </cacheField>
    <cacheField name="endDayOfYear" numFmtId="1">
      <sharedItems containsMixedTypes="1" containsNumber="1" containsInteger="1" minValue="6" maxValue="366"/>
    </cacheField>
    <cacheField name="year" numFmtId="0">
      <sharedItems containsMixedTypes="1" containsNumber="1" containsInteger="1" minValue="1875" maxValue="7063" count="52">
        <n v="1899"/>
        <n v="1960"/>
        <n v="1959"/>
        <n v="1919"/>
        <s v=""/>
        <n v="1922"/>
        <n v="1876"/>
        <n v="1902"/>
        <n v="1950"/>
        <n v="1978"/>
        <n v="1957"/>
        <n v="1896"/>
        <n v="1916"/>
        <n v="1886"/>
        <n v="1956"/>
        <n v="1961"/>
        <n v="1889"/>
        <n v="1885"/>
        <n v="1875"/>
        <n v="1958"/>
        <n v="1888"/>
        <n v="1975"/>
        <n v="1967"/>
        <n v="1893"/>
        <n v="1895"/>
        <n v="1948"/>
        <n v="1890"/>
        <n v="1901"/>
        <n v="1973"/>
        <n v="1887"/>
        <n v="1878"/>
        <n v="1952"/>
        <n v="1892"/>
        <n v="7063"/>
        <n v="1898"/>
        <n v="1891"/>
        <n v="1897"/>
        <n v="1921"/>
        <n v="1905"/>
        <n v="1946"/>
        <n v="1955"/>
        <n v="1982"/>
        <n v="1954"/>
        <n v="1964"/>
        <n v="1977"/>
        <n v="1981"/>
        <n v="1951"/>
        <n v="1881"/>
        <n v="1947"/>
        <n v="1965"/>
        <n v="1949"/>
        <n v="3104"/>
      </sharedItems>
    </cacheField>
    <cacheField name="month" numFmtId="0">
      <sharedItems containsMixedTypes="1" containsNumber="1" containsInteger="1" minValue="1" maxValue="12"/>
    </cacheField>
    <cacheField name="day" numFmtId="0">
      <sharedItems containsMixedTypes="1" containsNumber="1" containsInteger="1" minValue="1" maxValue="31"/>
    </cacheField>
    <cacheField name="verbatimEventDate" numFmtId="164">
      <sharedItems containsDate="1" containsMixedTypes="1" minDate="1905-02-17T00:00:00" maxDate="1981-03-16T00:00:00"/>
    </cacheField>
    <cacheField name="scientificNameAuthorship" numFmtId="0">
      <sharedItems containsBlank="1"/>
    </cacheField>
    <cacheField name="scientificName" numFmtId="0">
      <sharedItems count="157">
        <s v="Garrulus glandarius (Linnaeus, 1758)"/>
        <s v="Pyrrhocorax graculus (Linnaeus, 1766)"/>
        <s v="Pica pica (Linnaeus, 1758)"/>
        <s v="Nucifraga caryocatactes (Linnaeus, 1758)"/>
        <s v="Eriocnemis vestita (Lesson, 1839)"/>
        <s v="Trichoglossus moluccans (Pallas, 1764)"/>
        <s v="Ramphastos dicolorus (Linnaeus, 1766)"/>
        <s v="Corvus albus (Statius Müller, 1776)"/>
        <s v="Trochilidaesp.  (Vigors, 1825)"/>
        <s v="Passer italiae (Viellot, 1817)"/>
        <s v="Parus major (Linnaeus, 1758)"/>
        <s v="Dendrocopos major (Linnaeus, 1758)"/>
        <s v="Picus viridis (Linnaeus, 1758)"/>
        <s v="Jynx torquilla (Linnaeus, 1758)"/>
        <s v="Passer montanus (Linnaeus, 1758)"/>
        <s v="Erithacus rubecula (Linnaeus, 1758)"/>
        <s v="Fringilla coelebs (Linnaeus, 1758)"/>
        <s v="Oriolus oriolus (Linnaeus, 1758)"/>
        <s v="Buteo buteo (Linnaeus, 1758)"/>
        <s v="Pernis apivorus (Linnaeus, 1758)"/>
        <s v="Circus aeruginosus (Linnaeus, 1758)"/>
        <s v="Falco tinnunculus (Linnaeus, 1758)"/>
        <s v="Accipiter nisus (Linnaeus, 1758)"/>
        <s v="Rallus aquaticus (Linnaeus, 1758)"/>
        <s v="Fulica atra (Linnaeus, 1758)"/>
        <s v="Gallinula chloropus (Linnaeus, 1758)"/>
        <s v="Podiceps cristatus (Linnaeus, 1758)"/>
        <s v="Nycticorax nycticorax (Linnaeus, 1758)"/>
        <s v="Ardea purpurea (Linnaeus, 1766)"/>
        <s v="Athene noctua (Scopoli, 1769)"/>
        <s v="Bubo bubo (Linnaeus, 1758)"/>
        <s v="Strix aluco (Linnaeus, 1758)"/>
        <s v="Otus scops (Linnaeus, 1758)"/>
        <s v="Mareca penelope (Linnaeus, 1758)"/>
        <s v="Aythya ferina (Linnaeus, 1758)"/>
        <s v="Anas crecca (Linnaeus, 1758)"/>
        <s v="Spatula querquedula (Linnaeus, 1758)"/>
        <s v="Spatula clypeata (Spatula clypeata)"/>
        <s v="Anas platyrhynchos (Linnaeus, 1758)"/>
        <s v="Aythya nyroca (Guldenstadt, 1770)"/>
        <s v="Anas acuta (Linnaeus, 1758)"/>
        <s v="Eudyptes chrysolophus (Brandt, 1837)"/>
        <s v="Rhynchotus rufescens (Temminck, 1815)"/>
        <s v="Alectoris chukar (Gray, 1830)"/>
        <s v="Mergus serrator (Linnaeus, 1758)"/>
        <s v="Mergellus albellus (Linnaeus, 1758)"/>
        <s v="Aythya nyroca (Guldenstadt, 1770)"/>
        <s v="Netta rufina (Pallas, 1773)"/>
        <s v="Tachybaptus ruficollis (Pallas, 1764)"/>
        <s v="Gavia stellata (Pontoppidan, 1763)"/>
        <s v="Podiceps nigricollis (Brehm, 1831)"/>
        <s v="Egretta garzetta (Linnaeus, 1766)"/>
        <s v="Ardea alba (Linnaeus, 1758)"/>
        <s v="Botaurus stellaris (Linnaeus, 1758)"/>
        <s v="Plegadis falcinellus (Linnaeus, 1766)"/>
        <s v="Phalacrocorax carbo (Linnaeus, 1758)"/>
        <s v="Anser albifrons (Scopoli, 1769)"/>
        <s v="Recurvirostra avosetta (Linnaeus, 1758)"/>
        <s v="Himantopus himantopus (Linnaeus, 1758)"/>
        <s v="Charadrius dubius (Scopoli, 1786)"/>
        <s v="Charadrius hiaticula (Linnaeus, 1758)"/>
        <s v="Vanellus vanellus (Linnaeus, 1758)"/>
        <s v="Pluvialis apricaria (Linnaeus, 1758)"/>
        <s v="Calidris pugnax (Linnaeus, 1758)"/>
        <s v="Gallinago media (Latham, 1787)"/>
        <s v="Scolopax rusticola (Linnaeus, 1758)"/>
        <s v="Gallinago gallinago (Linnaeus, 1758)"/>
        <s v="Calidris minuta (Leisler, 1812)"/>
        <s v="Tringa totanus (Linnaeus, 1758)"/>
        <s v="Numenius arquata (Linnaeus, 1758)"/>
        <s v="Tringa erythropus (Pallas, 1764)"/>
        <s v="Tringa glareola   (Linnaeus, 1758)"/>
        <s v="Actitis hypoleucos (Linnaeus, 1758)"/>
        <s v="Limosa limosa (Linnaeus, 1758)"/>
        <s v="Tringa nebularia (Gunnerus, 1767)"/>
        <s v="Falco subbuteo (Linnaeus, 1758)"/>
        <s v="Falco naumanni (Fleischer, 1818)"/>
        <s v="Lagopus muta (Montin, 1781)"/>
        <s v="Alectoris graeca (Meisner, 1804)"/>
        <s v="Perdix perdix (Linnaeus, 1758)"/>
        <s v="Coturnix coturnix (Linnaeus, 1758)"/>
        <s v="Milvus milvus (Linnaeus, 1758)"/>
        <s v="Milvus migrans (Boddaert, 1783)"/>
        <s v="Circus cyaneus (Linnaeus, 1766)"/>
        <s v="Astur gentilis (Linnaeus, 1758)"/>
        <s v="Aquila chrysaetos (Linnaeus, 1758)"/>
        <s v="Caprimulgus europaeus (Linnaeus, 1758)"/>
        <s v="Cuculus canorus (Linnaeus, 1758)"/>
        <s v="Streptopelia turtur (Linnaeus, 1758)"/>
        <s v="Columba palumbus (Linnaeus, 1758)"/>
        <s v="Sternula albifrons (Pallas, 1764)"/>
        <s v="Chlidonias niger (Linnaeus, 1758)"/>
        <s v="Chroicocephalus ridibundus (Linnaeus, 1766)"/>
        <s v="Hydrocoloeus minutus (Pallas, 1776)"/>
        <s v="Rissa tridactyla (Linnaeus, 1758)"/>
        <s v="Ichthyaetus melanocephalus (Temminck, 1820)"/>
        <s v="Tyto alba (Scopoli, 1769)"/>
        <s v="Glaucidium passerinum (Linnaeus, 1758)"/>
        <s v="Asio flammeus (Pontoppidan, 1763)"/>
        <s v="Asio otus (Linnaeus, 1758)"/>
        <s v="Apus apus (Linnaeus, 1758)"/>
        <s v="Upupa epops (Linnaeus, 1758)"/>
        <s v="Coracias garrulus (Linnaeus, 1758)"/>
        <s v="Merops apiaster (Linnaeus, 1758)"/>
        <s v="Alcedo atthis (Linnaeus, 1758)"/>
        <s v="Phoenicurus phoenicurus (Linnaeus, 1758)"/>
        <s v="Phoenicurus ochruros (Gmelin, 1774)"/>
        <s v="Luscinia megarhynchos (Brehm, 1831)"/>
        <s v="Troglodytes troglodytes (Linnaeus, 1758)"/>
        <s v="Cinclus cinclus (Linnaeus, 1758)"/>
        <s v="Prunella modularis (Linnaeus, 1758)"/>
        <s v="Monticola alba (Linnaeus, 1758)"/>
        <s v="Monticola cinerea (Tunstall, 1771)"/>
        <s v="Galerida cristata (Linnaeus, 1758)"/>
        <s v="Anthus trivialis (Linnaeus, 1758)"/>
        <s v="Hirundo rustica (Linnaeus, 1758)"/>
        <s v="Alauda arvensis (Linnaeus, 1758)"/>
        <s v="  ()"/>
        <s v="Turdus merula (Linnaeus, 1758)"/>
        <s v="Turdus torquatus (Linnaeus, 1758)"/>
        <s v="Turdus iliacus (Linnaeus, 1758)"/>
        <s v="Turdus philomelos (Brehm, 1831)"/>
        <s v="Oenanthe oenanthe (Linnaeus, 1758)"/>
        <s v="Monticola solitarius (Linnaeus, 1758)"/>
        <s v="Saxicola torquatus (Linnaeus, 1766)"/>
        <s v="Saxicola rubetra (Linnaeus, 1758)"/>
        <s v="Curruca hortensis (Gmelin, 1789)"/>
        <s v="Sylvia borin (Boddaert, 1783)"/>
        <s v="Phylloscopus sibilatrix (Bechstein, 1793)"/>
        <s v="Regulus regulus (Linnaeus, 1758)"/>
        <s v="Cettia cetti (Temminck, 1820)"/>
        <s v="Sylvia atricapilla (Linnaeus, 1758)"/>
        <s v="Lanius senator (Linnaeus, 1758)"/>
        <s v="Certhia brachydactyla (Brehm, 1820)"/>
        <s v="Ficedula hypoleuca (Pallas, 1764)"/>
        <s v="Aegithalos caudatus (Linnaeus, 1758)"/>
        <s v="Poecile palustris (Linnaeus, 1758)"/>
        <s v="Cyanistes caeruleus (Linnaeus, 1758)"/>
        <s v="Sitta europaea (Linnaeus, 1758)"/>
        <s v="Corvus corax (Linnaeus, 1758)"/>
        <s v="Corvus frugilegus (Linnaeus, 1758)"/>
        <s v="Coloeus monedula (Linnaeus, 1758)"/>
        <s v="Corvus corone (Linnaeus, 1758)"/>
        <s v="Pyrrhocorax pyrrhocorax (Linnaeus, 1758)"/>
        <s v="Fringilla montifringilla (Linnaeus, 1758)"/>
        <s v="Carduelis carduelis (Linnaeus, 1758)"/>
        <s v="Linaria cannabina (Linnaeus, 1758)"/>
        <s v="Serinus serinus (Linnaeus, 1766)"/>
        <s v="Chloris chloris (Linnaeus, 1758)"/>
        <s v="Loxia curvirostra (Linnaeus, 1758)"/>
        <s v="Pyrrhula pyrrhula (Linnaeus, 1758)"/>
        <s v="Coccothraustes coccothraustes (Brisson, 1760)"/>
        <s v="Sturnus vulgaris (Linnaeus, 1758)"/>
        <s v="Pastor roseus (Linnaeus, 1758)"/>
        <s v="Passer domesticus (Linnaeus, 1758)"/>
        <s v="Emberiza citrinella (Linnaeus, 1758)"/>
        <s v="Emberiza calandra (Linnaeus, 1758)"/>
      </sharedItems>
    </cacheField>
    <cacheField name="higherClassification" numFmtId="0">
      <sharedItems/>
    </cacheField>
    <cacheField name="kingdom" numFmtId="0">
      <sharedItems/>
    </cacheField>
    <cacheField name="phylum" numFmtId="0">
      <sharedItems/>
    </cacheField>
    <cacheField name="class" numFmtId="0">
      <sharedItems/>
    </cacheField>
    <cacheField name="order" numFmtId="0">
      <sharedItems containsBlank="1"/>
    </cacheField>
    <cacheField name="family" numFmtId="0">
      <sharedItems containsBlank="1"/>
    </cacheField>
    <cacheField name="genus" numFmtId="0">
      <sharedItems containsBlank="1" count="122">
        <s v="Garrulus"/>
        <s v="Pyrrhocorax"/>
        <s v="Pica"/>
        <s v="Nucifraga"/>
        <s v="Eriocnemis"/>
        <s v="Trichoglossus"/>
        <s v="Ramphastos"/>
        <s v="Corvus"/>
        <s v="Trochilidaesp."/>
        <s v="Passer"/>
        <s v="Parus"/>
        <s v="Dendrocopos"/>
        <s v="Picus"/>
        <s v="Jynx"/>
        <s v="Erithacus"/>
        <s v="Fringilla"/>
        <s v="Oriolus"/>
        <s v="Buteo"/>
        <s v="Pernis"/>
        <s v="Circus"/>
        <s v="Falco"/>
        <s v="Accipiter"/>
        <s v="Rallus"/>
        <s v="Fulica"/>
        <s v="Gallinula"/>
        <s v="Podiceps"/>
        <s v="Nycticorax"/>
        <s v="Ardea"/>
        <s v="Athene"/>
        <s v="Bubo"/>
        <s v="Strix"/>
        <s v="Otus"/>
        <s v="Mareca"/>
        <s v="Aythya"/>
        <s v="Anas"/>
        <s v="Spatula"/>
        <s v="Eudyptes"/>
        <s v="Rhynchotus"/>
        <s v="Alectoris"/>
        <s v="Mergus"/>
        <s v="Mergellus"/>
        <s v="Netta"/>
        <s v="Tachybaptus"/>
        <s v="Gavia"/>
        <s v="Egretta"/>
        <s v="Botaurus"/>
        <s v="Plegadis"/>
        <s v="Phalacrocorax"/>
        <s v="Anser"/>
        <s v="Recurvirostra"/>
        <s v="Himantopus"/>
        <s v="Charadrius"/>
        <s v="Vanellus"/>
        <s v="Pluvialis"/>
        <s v="Calidris"/>
        <s v="Gallinago"/>
        <s v="Scolopax"/>
        <s v="Tringa"/>
        <s v="Numenius"/>
        <s v="Actitis"/>
        <s v="Limosa"/>
        <s v="Lagopus"/>
        <s v="Perdix"/>
        <s v="Coturnix"/>
        <s v="Milvus"/>
        <s v="Astur"/>
        <s v="Aquila"/>
        <s v="Caprimulgus"/>
        <s v="Cuculus"/>
        <s v="Streptopelia"/>
        <s v="Columba"/>
        <s v="Sternula"/>
        <s v="Chlidonias"/>
        <s v="Chroicocephalus"/>
        <s v="Hydrocoloeus"/>
        <s v="Rissa"/>
        <s v="Ichthyaetus"/>
        <s v="Tyto"/>
        <s v="Glaucidium"/>
        <s v="Asio"/>
        <s v="Apus"/>
        <s v="Upupa"/>
        <s v="Coracias"/>
        <s v="Merops"/>
        <s v="Alcedo"/>
        <s v="Phoenicurus"/>
        <s v="Luscinia"/>
        <s v="Troglodytes"/>
        <s v="Cinclus"/>
        <s v="Prunella"/>
        <s v="Monticola"/>
        <s v="Galerida"/>
        <s v="Anthus"/>
        <s v="Hirundo"/>
        <s v="Alauda"/>
        <m/>
        <s v="Turdus"/>
        <s v="Oenanthe"/>
        <s v="Saxicola"/>
        <s v="Curruca"/>
        <s v="Sylvia"/>
        <s v="Phylloscopus"/>
        <s v="Regulus"/>
        <s v="Cettia"/>
        <s v="Lanius"/>
        <s v="Certhia"/>
        <s v="Ficedula"/>
        <s v="Aegithalos"/>
        <s v="Poecile"/>
        <s v="Cyanistes"/>
        <s v="Sitta"/>
        <s v="Coloeus"/>
        <s v="Carduelis"/>
        <s v="Linaria"/>
        <s v="Serinus"/>
        <s v="Chloris"/>
        <s v="Loxia"/>
        <s v="Pyrrhula"/>
        <s v="Coccothraustes"/>
        <s v="Sturnus"/>
        <s v="Pastor"/>
        <s v="Emberiza"/>
      </sharedItems>
    </cacheField>
    <cacheField name="specificEpithet" numFmtId="0">
      <sharedItems containsBlank="1"/>
    </cacheField>
    <cacheField name="taxonRank" numFmtId="0">
      <sharedItems/>
    </cacheField>
    <cacheField name="vernacularName" numFmtId="0">
      <sharedItems/>
    </cacheField>
    <cacheField name="identifiedBy" numFmtId="0">
      <sharedItems containsNonDate="0" containsString="0" containsBlank="1"/>
    </cacheField>
    <cacheField name="nomenclaturalCode" numFmtId="0">
      <sharedItems/>
    </cacheField>
    <cacheField name="decimalLatitude" numFmtId="0">
      <sharedItems containsNonDate="0" containsString="0" containsBlank="1"/>
    </cacheField>
    <cacheField name="decimalLongitude" numFmtId="0">
      <sharedItems containsNonDate="0" containsString="0" containsBlank="1"/>
    </cacheField>
    <cacheField name="geodeticDatum" numFmtId="0">
      <sharedItems/>
    </cacheField>
    <cacheField name="coordinateUncertaintyInMeters" numFmtId="0">
      <sharedItems containsNonDate="0" containsString="0" containsBlank="1"/>
    </cacheField>
    <cacheField name="verbatimCoordinates" numFmtId="0">
      <sharedItems containsNonDate="0" containsString="0" containsBlank="1"/>
    </cacheField>
    <cacheField name="verbatimCoordinateSystem" numFmtId="0">
      <sharedItems containsNonDate="0" containsString="0" containsBlank="1"/>
    </cacheField>
    <cacheField name="georeferencedDate" numFmtId="14">
      <sharedItems containsSemiMixedTypes="0" containsNonDate="0" containsDate="1" containsString="0" minDate="2026-02-01T00:00:00" maxDate="2026-02-02T00:00:00"/>
    </cacheField>
    <cacheField name="georeferenceProtocol" numFmtId="0">
      <sharedItems/>
    </cacheField>
    <cacheField name="georeferenceSources" numFmtId="0">
      <sharedItems/>
    </cacheField>
    <cacheField name="georeferenceVerificationStatus" numFmtId="0">
      <sharedItems/>
    </cacheField>
    <cacheField name="higherGeography" numFmtId="0">
      <sharedItems/>
    </cacheField>
    <cacheField name="continent" numFmtId="0">
      <sharedItems containsBlank="1"/>
    </cacheField>
    <cacheField name="island" numFmtId="0">
      <sharedItems containsNonDate="0" containsString="0" containsBlank="1"/>
    </cacheField>
    <cacheField name="country" numFmtId="0">
      <sharedItems containsBlank="1" count="10">
        <s v="Italy"/>
        <m/>
        <s v="Venezuela"/>
        <s v="Australia"/>
        <s v="Brazil"/>
        <s v="Ethiopia"/>
        <s v="Equador"/>
        <s v="n.a."/>
        <s v="CentralAmerica"/>
        <s v="France"/>
      </sharedItems>
    </cacheField>
    <cacheField name="countryCode" numFmtId="0">
      <sharedItems/>
    </cacheField>
    <cacheField name="stateProvince" numFmtId="0">
      <sharedItems containsBlank="1" count="7">
        <s v="Lazio"/>
        <s v="Piedmont"/>
        <m/>
        <s v="Veneto"/>
        <s v="Basilicata"/>
        <s v="Apulia"/>
        <s v="Marche"/>
      </sharedItems>
    </cacheField>
    <cacheField name="locality" numFmtId="0">
      <sharedItems containsBlank="1"/>
    </cacheField>
    <cacheField name="type" numFmtId="0">
      <sharedItems/>
    </cacheField>
    <cacheField name="language" numFmtId="0">
      <sharedItems/>
    </cacheField>
    <cacheField name="institutionID" numFmtId="0">
      <sharedItems/>
    </cacheField>
    <cacheField name="collectionCode" numFmtId="0">
      <sharedItems/>
    </cacheField>
    <cacheField name="catalogNumber" numFmtId="0">
      <sharedItems containsNonDate="0" containsString="0" containsBlank="1"/>
    </cacheField>
    <cacheField name="sex" numFmtId="0">
      <sharedItems/>
    </cacheField>
    <cacheField name="organismID" numFmtId="0">
      <sharedItems/>
    </cacheField>
    <cacheField name="individualCount" numFmtId="0">
      <sharedItems containsSemiMixedTypes="0" containsString="0" containsNumber="1" containsInteger="1" minValue="1" maxValue="1"/>
    </cacheField>
    <cacheField name="organismQuantity" numFmtId="0">
      <sharedItems containsSemiMixedTypes="0" containsString="0" containsNumber="1" containsInteger="1" minValue="1" maxValue="1"/>
    </cacheField>
    <cacheField name="organismQuantityType" numFmtId="0">
      <sharedItems/>
    </cacheField>
    <cacheField name="samplingProtocol" numFmtId="0">
      <sharedItems/>
    </cacheField>
    <cacheField name="preparations" numFmtId="0">
      <sharedItems/>
    </cacheField>
    <cacheField name="lifeStage" numFmtId="0">
      <sharedItems/>
    </cacheField>
    <cacheField name="otherCatalogNumbers" numFmtId="0">
      <sharedItems containsNonDate="0" containsString="0" containsBlank="1"/>
    </cacheField>
    <cacheField name="associatedMedia_1" numFmtId="0">
      <sharedItems containsBlank="1"/>
    </cacheField>
    <cacheField name="associatedMedia_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MZURORN2025-001"/>
    <s v="PreservedSpecimen"/>
    <n v="1899"/>
    <n v="72"/>
    <n v="72"/>
    <x v="0"/>
    <n v="3"/>
    <n v="13"/>
    <d v="1905-03-13T00:00:00"/>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Europa | Italy | Lazio | Castelporziano"/>
    <s v="Europa"/>
    <m/>
    <x v="0"/>
    <s v="ITA"/>
    <x v="0"/>
    <s v="Castelporziano"/>
    <s v="PreservedSpecimen"/>
    <s v="ITA/ING"/>
    <s v="MZUR"/>
    <s v="ORN2025"/>
    <m/>
    <s v="Male"/>
    <s v="MZURORN2025-001"/>
    <n v="1"/>
    <n v="1"/>
    <s v="individuals"/>
    <s v="field collection"/>
    <s v="mounted specimen"/>
    <s v="Adult"/>
    <m/>
    <s v="DSC_0573.JPG"/>
    <s v="DSC_0572.JPG"/>
  </r>
  <r>
    <s v="MZURORN2025-002"/>
    <s v="PreservedSpecimen"/>
    <d v="1960-09-23T00:00:00"/>
    <n v="267"/>
    <n v="267"/>
    <x v="1"/>
    <n v="9"/>
    <n v="23"/>
    <d v="1960-09-23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Piedmont | Limone Piemonte"/>
    <s v="Europa"/>
    <m/>
    <x v="0"/>
    <s v="ITA"/>
    <x v="1"/>
    <s v="Limone Piemonte"/>
    <s v="PreservedSpecimen"/>
    <s v="ITA/ING"/>
    <s v="MZUR"/>
    <s v="ORN2025"/>
    <m/>
    <s v="Female"/>
    <s v="MZURORN2025-002"/>
    <n v="1"/>
    <n v="1"/>
    <s v="individuals"/>
    <s v="field collection"/>
    <s v="mounted specimen"/>
    <s v="Juvenile"/>
    <m/>
    <s v="DSC_0575.JPG"/>
    <s v="DSC_0574.JPG"/>
  </r>
  <r>
    <s v="MZURORN2025-003"/>
    <s v="PreservedSpecimen"/>
    <d v="1959-09-20T00:00:00"/>
    <n v="263"/>
    <n v="263"/>
    <x v="2"/>
    <n v="9"/>
    <n v="20"/>
    <d v="1959-09-20T00:00:00"/>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Europa | Italy | Piedmont | Limone Piemonte"/>
    <s v="Europa"/>
    <m/>
    <x v="0"/>
    <s v="ITA"/>
    <x v="1"/>
    <s v="Limone Piemonte"/>
    <s v="PreservedSpecimen"/>
    <s v="ITA/ING"/>
    <s v="MZUR"/>
    <s v="ORN2025"/>
    <m/>
    <s v="Unknown"/>
    <s v="MZURORN2025-003"/>
    <n v="1"/>
    <n v="1"/>
    <s v="individuals"/>
    <s v="field collection"/>
    <s v="mounted specimen"/>
    <s v="Adult"/>
    <m/>
    <s v="DSC_0577.JPG"/>
    <s v="DSC_0576.JPG"/>
  </r>
  <r>
    <s v="MZURORN2025-004"/>
    <s v="PreservedSpecimen"/>
    <n v="1919"/>
    <n v="92"/>
    <n v="92"/>
    <x v="3"/>
    <n v="4"/>
    <n v="2"/>
    <d v="1905-04-02T00:00:00"/>
    <s v="Linnaeus, 1758"/>
    <x v="3"/>
    <s v="Animalia|Chordata|Aves|Passeriformes|Corvidae|Nucifraga"/>
    <s v="Animalia"/>
    <s v="Chordata"/>
    <s v="Aves"/>
    <s v="Passeriformes"/>
    <s v="Corvidae"/>
    <x v="3"/>
    <s v="caryocatactes"/>
    <s v="Species"/>
    <s v="Northern nutcracker"/>
    <m/>
    <s v="ICZN"/>
    <m/>
    <m/>
    <s v="WGS84"/>
    <m/>
    <m/>
    <m/>
    <d v="2026-02-01T00:00:00"/>
    <s v="MaNIS georeferencing guidelines"/>
    <s v="Google Maps"/>
    <s v="verified by contributor"/>
    <s v="Europa | Italy | Lazio | Monte Scalambra"/>
    <s v="Europa"/>
    <m/>
    <x v="0"/>
    <s v="ITA"/>
    <x v="0"/>
    <s v="Monte Scalambra"/>
    <s v="PreservedSpecimen"/>
    <s v="ITA/ING"/>
    <s v="MZUR"/>
    <s v="ORN2025"/>
    <m/>
    <s v="Unknown"/>
    <s v="MZURORN2025-004"/>
    <n v="1"/>
    <n v="1"/>
    <s v="individuals"/>
    <s v="field collection"/>
    <s v="mounted specimen"/>
    <s v="Adult"/>
    <m/>
    <s v="DSC_0579.JPG"/>
    <s v="DSC_0578.JPG"/>
  </r>
  <r>
    <s v="MZURORN2025-005"/>
    <s v="PreservedSpecimen"/>
    <s v="n.a."/>
    <s v=""/>
    <s v=""/>
    <x v="4"/>
    <s v=""/>
    <s v=""/>
    <s v="n.a."/>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Italy | Lazio"/>
    <m/>
    <m/>
    <x v="0"/>
    <s v="ITA"/>
    <x v="2"/>
    <s v="Lazio"/>
    <s v="PreservedSpecimen"/>
    <s v="ITA/ING"/>
    <s v="MZUR"/>
    <s v="ORN2025"/>
    <m/>
    <s v="Unknown"/>
    <s v="MZURORN2025-005"/>
    <n v="1"/>
    <n v="1"/>
    <s v="individuals"/>
    <s v="field collection"/>
    <s v="mounted specimen"/>
    <s v="Adult"/>
    <m/>
    <s v="DSC_0581.JPG"/>
    <s v="DSC_0580.JPG"/>
  </r>
  <r>
    <s v="MZURORN2025-006"/>
    <s v="PreservedSpecimen"/>
    <s v="n.a."/>
    <s v=""/>
    <s v=""/>
    <x v="4"/>
    <s v=""/>
    <s v=""/>
    <s v="n.a."/>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n.a."/>
    <m/>
    <m/>
    <x v="1"/>
    <s v=""/>
    <x v="2"/>
    <s v="n.a."/>
    <s v="PreservedSpecimen"/>
    <s v="ITA/ING"/>
    <s v="MZUR"/>
    <s v="ORN2025"/>
    <m/>
    <s v="Unknown"/>
    <s v="MZURORN2025-006"/>
    <n v="1"/>
    <n v="1"/>
    <s v="individuals"/>
    <s v="field collection"/>
    <s v="mounted specimen"/>
    <s v="Adult"/>
    <m/>
    <s v="DSC_0583.JPG"/>
    <s v="DSC_0582.JPG"/>
  </r>
  <r>
    <s v="MZURORN2025-007"/>
    <s v="PreservedSpecimen"/>
    <n v="1922"/>
    <n v="95"/>
    <n v="95"/>
    <x v="5"/>
    <n v="4"/>
    <n v="5"/>
    <d v="1905-04-05T00:00:00"/>
    <s v="Lesson, 1839"/>
    <x v="4"/>
    <s v="Animalia|Chordata|Aves|Apodiformes|Trochilidae|Eriocnemis"/>
    <s v="Animalia"/>
    <s v="Chordata"/>
    <s v="Aves"/>
    <s v="Apodiformes"/>
    <s v="Trochilidae"/>
    <x v="4"/>
    <s v="vestita"/>
    <s v="Species"/>
    <s v="Glowing puffleg"/>
    <m/>
    <s v="ICZN"/>
    <m/>
    <m/>
    <s v="WGS84"/>
    <m/>
    <m/>
    <m/>
    <d v="2026-02-01T00:00:00"/>
    <s v="MaNIS georeferencing guidelines"/>
    <s v="Google Maps"/>
    <s v="verified by contributor"/>
    <s v="Sud America | Venezuela"/>
    <s v="Sud America"/>
    <m/>
    <x v="2"/>
    <s v="VEN"/>
    <x v="2"/>
    <m/>
    <s v="PreservedSpecimen"/>
    <s v="ITA/ING"/>
    <s v="MZUR"/>
    <s v="ORN2025"/>
    <m/>
    <s v="Unknown"/>
    <s v="MZURORN2025-007"/>
    <n v="1"/>
    <n v="1"/>
    <s v="individuals"/>
    <s v="field collection"/>
    <s v="mounted specimen"/>
    <s v="Adult"/>
    <m/>
    <s v="DSC_0587.JPG"/>
    <s v="DSC_0586.JPG"/>
  </r>
  <r>
    <s v="MZURORN2025-008"/>
    <s v="PreservedSpecimen"/>
    <s v="n.a."/>
    <s v=""/>
    <s v=""/>
    <x v="4"/>
    <s v=""/>
    <s v=""/>
    <s v="n.a."/>
    <s v="Pallas, 1764"/>
    <x v="5"/>
    <s v="Animalia|Chordata|Aves|Psittaciformes|Psittaculidae|Trichoglossus"/>
    <s v="Animalia"/>
    <s v="Chordata"/>
    <s v="Aves"/>
    <s v="Psittaciformes"/>
    <s v="Psittaculidae"/>
    <x v="5"/>
    <s v="moluccans"/>
    <s v="Species"/>
    <s v="Rainbow lorikeet"/>
    <m/>
    <s v="ICZN"/>
    <m/>
    <m/>
    <s v="WGS84"/>
    <m/>
    <m/>
    <m/>
    <d v="2026-02-01T00:00:00"/>
    <s v="MaNIS georeferencing guidelines"/>
    <s v="Google Maps"/>
    <s v="verified by contributor"/>
    <s v="Oceania | Australia"/>
    <s v="Oceania"/>
    <m/>
    <x v="3"/>
    <s v="AUS"/>
    <x v="2"/>
    <m/>
    <s v="PreservedSpecimen"/>
    <s v="ITA/ING"/>
    <s v="MZUR"/>
    <s v="ORN2025"/>
    <m/>
    <s v="Unknown"/>
    <s v="MZURORN2025-008"/>
    <n v="1"/>
    <n v="1"/>
    <s v="individuals"/>
    <s v="field collection"/>
    <s v="mounted specimen"/>
    <s v="Adult"/>
    <m/>
    <s v="DSC_0589.JPG"/>
    <s v="DSC_0588.JPG"/>
  </r>
  <r>
    <s v="MZURORN2025-009"/>
    <s v="PreservedSpecimen"/>
    <s v="n.a."/>
    <s v=""/>
    <s v=""/>
    <x v="4"/>
    <s v=""/>
    <s v=""/>
    <s v="n.a."/>
    <s v="Linnaeus, 1766"/>
    <x v="6"/>
    <s v="Animalia|Chordata|Aves|Piciformes|Ramphastidae|Ramphastos"/>
    <s v="Animalia"/>
    <s v="Chordata"/>
    <s v="Aves"/>
    <s v="Piciformes"/>
    <s v="Ramphastidae"/>
    <x v="6"/>
    <s v="dicolorus"/>
    <s v="Species"/>
    <s v="Red-breasted toucan"/>
    <m/>
    <s v="ICZN"/>
    <m/>
    <m/>
    <s v="WGS84"/>
    <m/>
    <m/>
    <m/>
    <d v="2026-02-01T00:00:00"/>
    <s v="MaNIS georeferencing guidelines"/>
    <s v="Google Maps"/>
    <s v="verified by contributor"/>
    <s v="Sud America | Brazil"/>
    <s v="Sud America"/>
    <m/>
    <x v="4"/>
    <s v="BRA"/>
    <x v="2"/>
    <m/>
    <s v="PreservedSpecimen"/>
    <s v="ITA/ING"/>
    <s v="MZUR"/>
    <s v="ORN2025"/>
    <m/>
    <s v="Unknown"/>
    <s v="MZURORN2025-009"/>
    <n v="1"/>
    <n v="1"/>
    <s v="individuals"/>
    <s v="field collection"/>
    <s v="mounted specimen"/>
    <s v="Adult"/>
    <m/>
    <s v="DSC_0591.JPG"/>
    <s v="DSC_0590.JPG"/>
  </r>
  <r>
    <s v="MZURORN2025-010"/>
    <s v="PreservedSpecimen"/>
    <s v="n.a."/>
    <s v=""/>
    <s v=""/>
    <x v="4"/>
    <s v=""/>
    <s v=""/>
    <s v="n.a."/>
    <s v="Linnaeus, 1766"/>
    <x v="6"/>
    <s v="Animalia|Chordata|Aves|Piciformes|Ramphastidae|Ramphastos"/>
    <s v="Animalia"/>
    <s v="Chordata"/>
    <s v="Aves"/>
    <s v="Piciformes"/>
    <s v="Ramphastidae"/>
    <x v="6"/>
    <s v="dicolorus"/>
    <s v="Species"/>
    <s v="Red-breasted toucan"/>
    <m/>
    <s v="ICZN"/>
    <m/>
    <m/>
    <s v="WGS84"/>
    <m/>
    <m/>
    <m/>
    <d v="2026-02-01T00:00:00"/>
    <s v="MaNIS georeferencing guidelines"/>
    <s v="Google Maps"/>
    <s v="verified by contributor"/>
    <s v="Sud America | Brazil"/>
    <s v="Sud America"/>
    <m/>
    <x v="4"/>
    <s v="BRA"/>
    <x v="2"/>
    <m/>
    <s v="PreservedSpecimen"/>
    <s v="ITA/ING"/>
    <s v="MZUR"/>
    <s v="ORN2025"/>
    <m/>
    <s v="Unknown"/>
    <s v="MZURORN2025-010"/>
    <n v="1"/>
    <n v="1"/>
    <s v="individuals"/>
    <s v="field collection"/>
    <s v="mounted specimen"/>
    <s v="Adult"/>
    <m/>
    <s v="DSC_0593.JPG"/>
    <s v="DSC_0592.JPG"/>
  </r>
  <r>
    <s v="MZURORN2025-011"/>
    <s v="PreservedSpecimen"/>
    <n v="1876"/>
    <n v="49"/>
    <n v="49"/>
    <x v="6"/>
    <n v="2"/>
    <n v="18"/>
    <d v="1905-02-18T00:00:00"/>
    <s v="Statius Müller, 1776"/>
    <x v="7"/>
    <s v="Animalia|Chordata|Aves|Passeriformes|Corvidae|Corvus"/>
    <s v="Animalia"/>
    <s v="Chordata"/>
    <s v="Aves"/>
    <s v="Passeriformes"/>
    <s v="Corvidae"/>
    <x v="7"/>
    <s v="albus"/>
    <s v="Species"/>
    <s v="Pied crow"/>
    <m/>
    <s v="ICZN"/>
    <m/>
    <m/>
    <s v="WGS84"/>
    <m/>
    <m/>
    <m/>
    <d v="2026-02-01T00:00:00"/>
    <s v="MaNIS georeferencing guidelines"/>
    <s v="Google Maps"/>
    <s v="verified by contributor"/>
    <s v="Africa | Ethiopia | Shewa"/>
    <s v="Africa"/>
    <m/>
    <x v="5"/>
    <s v="ETH"/>
    <x v="2"/>
    <s v="Shewa"/>
    <s v="PreservedSpecimen"/>
    <s v="ITA/ING"/>
    <s v="MZUR"/>
    <s v="ORN2025"/>
    <m/>
    <s v="Female"/>
    <s v="MZURORN2025-011"/>
    <n v="1"/>
    <n v="1"/>
    <s v="individuals"/>
    <s v="field collection"/>
    <s v="mounted specimen"/>
    <s v="Adult"/>
    <m/>
    <s v="DSC_0595.JPG"/>
    <s v="DSC_0594.JPG"/>
  </r>
  <r>
    <s v="MZURORN2025-012"/>
    <s v="PreservedSpecimen"/>
    <n v="1902"/>
    <n v="75"/>
    <n v="75"/>
    <x v="7"/>
    <n v="3"/>
    <n v="16"/>
    <d v="1905-03-16T00:00:00"/>
    <s v="Vigors, 1825"/>
    <x v="8"/>
    <s v="Animalia|Chordata|Aves|Apodiformes|Trochilidae|Trochilidaesp."/>
    <s v="Animalia"/>
    <s v="Chordata"/>
    <s v="Aves"/>
    <s v="Apodiformes"/>
    <s v="Trochilidae"/>
    <x v="8"/>
    <m/>
    <s v="Species"/>
    <s v="Hummingbird"/>
    <m/>
    <s v="ICZN"/>
    <m/>
    <m/>
    <s v="WGS84"/>
    <m/>
    <m/>
    <m/>
    <d v="2026-02-01T00:00:00"/>
    <s v="MaNIS georeferencing guidelines"/>
    <s v="Google Maps"/>
    <s v="verified by contributor"/>
    <s v="Sud America | Equador"/>
    <s v="Sud America"/>
    <m/>
    <x v="6"/>
    <s v="ECU"/>
    <x v="2"/>
    <m/>
    <s v="PreservedSpecimen"/>
    <s v="ITA/ING"/>
    <s v="MZUR"/>
    <s v="ORN2025"/>
    <m/>
    <s v="Unknown"/>
    <s v="MZURORN2025-012"/>
    <n v="1"/>
    <n v="1"/>
    <s v="individuals"/>
    <s v="field collection"/>
    <s v="mounted specimen"/>
    <s v="Adult"/>
    <m/>
    <s v="DSC_0597.JPG"/>
    <s v="DSC_0596.JPG"/>
  </r>
  <r>
    <s v="MZURORN2025-013"/>
    <s v="PreservedSpecimen"/>
    <d v="1950-09-24T00:00:00"/>
    <n v="267"/>
    <n v="267"/>
    <x v="8"/>
    <n v="9"/>
    <n v="24"/>
    <d v="1950-09-24T00:00:00"/>
    <s v="Viellot, 1817"/>
    <x v="9"/>
    <s v="Animalia|Chordata|Aves|Passeriformes|Passeridae|Passer"/>
    <s v="Animalia"/>
    <s v="Chordata"/>
    <s v="Aves"/>
    <s v="Passeriformes"/>
    <s v="Passeridae"/>
    <x v="9"/>
    <s v="italiae"/>
    <s v="Species"/>
    <s v="Italian sparrow"/>
    <m/>
    <s v="ICZN"/>
    <m/>
    <m/>
    <s v="WGS84"/>
    <m/>
    <m/>
    <m/>
    <d v="2026-02-01T00:00:00"/>
    <s v="MaNIS georeferencing guidelines"/>
    <s v="Google Maps"/>
    <s v="verified by contributor"/>
    <s v="Europa | Italy | Veneto | Padua"/>
    <s v="Europa"/>
    <m/>
    <x v="0"/>
    <s v="ITA"/>
    <x v="3"/>
    <s v="Padua"/>
    <s v="PreservedSpecimen"/>
    <s v="ITA/ING"/>
    <s v="MZUR"/>
    <s v="ORN2025"/>
    <m/>
    <s v="Male"/>
    <s v="MZURORN2025-013"/>
    <n v="1"/>
    <n v="1"/>
    <s v="individuals"/>
    <s v="field collection"/>
    <s v="mounted specimen"/>
    <s v="Adult"/>
    <m/>
    <s v="DSC_0599.JPG"/>
    <s v="DSC_0598.JPG"/>
  </r>
  <r>
    <s v="MZURORN2025-014"/>
    <s v="PreservedSpecimen"/>
    <n v="1978"/>
    <n v="151"/>
    <n v="151"/>
    <x v="9"/>
    <n v="5"/>
    <n v="31"/>
    <d v="1905-05-31T00:00:00"/>
    <s v="Viellot, 1817"/>
    <x v="9"/>
    <s v="Animalia|Chordata|Aves|Passeriformes|Passeridae|Passer"/>
    <s v="Animalia"/>
    <s v="Chordata"/>
    <s v="Aves"/>
    <s v="Passeriformes"/>
    <s v="Passeridae"/>
    <x v="9"/>
    <s v="italiae"/>
    <s v="Species"/>
    <s v="Italian sparrow"/>
    <m/>
    <s v="ICZN"/>
    <m/>
    <m/>
    <s v="WGS84"/>
    <m/>
    <m/>
    <m/>
    <d v="2026-02-01T00:00:00"/>
    <s v="MaNIS georeferencing guidelines"/>
    <s v="Google Maps"/>
    <s v="verified by contributor"/>
    <s v="Europa | Italy | Lazio | Rome"/>
    <s v="Europa"/>
    <m/>
    <x v="0"/>
    <s v="ITA"/>
    <x v="0"/>
    <s v="Rome"/>
    <s v="PreservedSpecimen"/>
    <s v="ITA/ING"/>
    <s v="MZUR"/>
    <s v="ORN2025"/>
    <m/>
    <s v="Male"/>
    <s v="MZURORN2025-014"/>
    <n v="1"/>
    <n v="1"/>
    <s v="individuals"/>
    <s v="field collection"/>
    <s v="mounted specimen"/>
    <s v="Adult"/>
    <m/>
    <s v="DSC_0601.JPG"/>
    <s v="DSC_0600.JPG"/>
  </r>
  <r>
    <s v="MZURORN2025-015"/>
    <s v="PreservedSpecimen"/>
    <d v="1950-10-04T00:00:00"/>
    <n v="277"/>
    <n v="277"/>
    <x v="8"/>
    <n v="10"/>
    <n v="4"/>
    <d v="1950-10-04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Veneto | Padua"/>
    <s v="Europa"/>
    <m/>
    <x v="0"/>
    <s v="ITA"/>
    <x v="3"/>
    <s v="Padua"/>
    <s v="PreservedSpecimen"/>
    <s v="ITA/ING"/>
    <s v="MZUR"/>
    <s v="ORN2025"/>
    <m/>
    <s v="Male"/>
    <s v="MZURORN2025-015"/>
    <n v="1"/>
    <n v="1"/>
    <s v="individuals"/>
    <s v="field collection"/>
    <s v="mounted specimen"/>
    <s v="Adult"/>
    <m/>
    <s v="DSC_0603.JPG"/>
    <s v="DSC_0602.JPG"/>
  </r>
  <r>
    <s v="MZURORN2025-016"/>
    <s v="PreservedSpecimen"/>
    <d v="1957-01-06T00:00:00"/>
    <n v="6"/>
    <n v="6"/>
    <x v="10"/>
    <n v="1"/>
    <n v="6"/>
    <d v="1957-01-06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16"/>
    <n v="1"/>
    <n v="1"/>
    <s v="individuals"/>
    <s v="field collection"/>
    <s v="mounted specimen"/>
    <s v="Adult"/>
    <m/>
    <s v="DSC_0605.JPG"/>
    <s v="DSC_0604.JPG"/>
  </r>
  <r>
    <s v="MZURORN2025-017"/>
    <s v="PreservedSpecimen"/>
    <n v="1896"/>
    <n v="69"/>
    <n v="69"/>
    <x v="11"/>
    <n v="3"/>
    <n v="10"/>
    <d v="1905-03-10T00:00:00"/>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Europa | Italy | Lazio | Rome"/>
    <s v="Europa"/>
    <m/>
    <x v="0"/>
    <s v="ITA"/>
    <x v="0"/>
    <s v="Rome"/>
    <s v="PreservedSpecimen"/>
    <s v="ITA/ING"/>
    <s v="MZUR"/>
    <s v="ORN2025"/>
    <m/>
    <s v="Unknown"/>
    <s v="MZURORN2025-017"/>
    <n v="1"/>
    <n v="1"/>
    <s v="individuals"/>
    <s v="field collection"/>
    <s v="mounted specimen"/>
    <s v="Adult"/>
    <m/>
    <s v="DSC_0607.JPG"/>
    <s v="DSC_0606.JPG"/>
  </r>
  <r>
    <s v="MZURORN2025-018"/>
    <s v="PreservedSpecimen"/>
    <s v="n.a."/>
    <s v=""/>
    <s v=""/>
    <x v="4"/>
    <s v=""/>
    <s v=""/>
    <s v="n.a."/>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Europa | Italy | Lazio | Ager Romanus"/>
    <s v="Europa"/>
    <m/>
    <x v="0"/>
    <s v="ITA"/>
    <x v="0"/>
    <s v="Ager Romanus"/>
    <s v="PreservedSpecimen"/>
    <s v="ITA/ING"/>
    <s v="MZUR"/>
    <s v="ORN2025"/>
    <m/>
    <s v="Male"/>
    <s v="MZURORN2025-018"/>
    <n v="1"/>
    <n v="1"/>
    <s v="individuals"/>
    <s v="field collection"/>
    <s v="mounted specimen"/>
    <s v="Adult"/>
    <m/>
    <s v="DSC_0609.JPG"/>
    <s v="DSC_0608.JPG"/>
  </r>
  <r>
    <s v="MZURORN2025-019"/>
    <s v="PreservedSpecimen"/>
    <s v="n.a."/>
    <s v=""/>
    <s v=""/>
    <x v="4"/>
    <s v=""/>
    <s v=""/>
    <s v="n.a."/>
    <s v="Linnaeus, 1758"/>
    <x v="12"/>
    <s v="Animalia|Chordata|Aves|Piciformes|Picidae|Picus"/>
    <s v="Animalia"/>
    <s v="Chordata"/>
    <s v="Aves"/>
    <s v="Piciformes"/>
    <s v="Picidae"/>
    <x v="12"/>
    <s v="viridis"/>
    <s v="Species"/>
    <s v="European green woodpecker"/>
    <m/>
    <s v="ICZN"/>
    <m/>
    <m/>
    <s v="WGS84"/>
    <m/>
    <m/>
    <m/>
    <d v="2026-02-01T00:00:00"/>
    <s v="MaNIS georeferencing guidelines"/>
    <s v="Google Maps"/>
    <s v="verified by contributor"/>
    <s v="Europa | Italy | Lazio | Rome"/>
    <s v="Europa"/>
    <m/>
    <x v="0"/>
    <s v="ITA"/>
    <x v="0"/>
    <s v="Rome"/>
    <s v="PreservedSpecimen"/>
    <s v="ITA/ING"/>
    <s v="MZUR"/>
    <s v="ORN2025"/>
    <m/>
    <s v="Male"/>
    <s v="MZURORN2025-019"/>
    <n v="1"/>
    <n v="1"/>
    <s v="individuals"/>
    <s v="field collection"/>
    <s v="mounted specimen"/>
    <s v="Adult"/>
    <m/>
    <s v="DSC_0611.JPG"/>
    <s v="DSC_0610.JPG"/>
  </r>
  <r>
    <s v="MZURORN2025-020"/>
    <s v="PreservedSpecimen"/>
    <n v="1916"/>
    <n v="89"/>
    <n v="89"/>
    <x v="12"/>
    <n v="3"/>
    <n v="30"/>
    <d v="1905-03-30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Italy | Lazio"/>
    <m/>
    <m/>
    <x v="0"/>
    <s v="ITA"/>
    <x v="0"/>
    <m/>
    <s v="PreservedSpecimen"/>
    <s v="ITA/ING"/>
    <s v="MZUR"/>
    <s v="ORN2025"/>
    <m/>
    <s v="Unknown"/>
    <s v="MZURORN2025-020"/>
    <n v="1"/>
    <n v="1"/>
    <s v="individuals"/>
    <s v="field collection"/>
    <s v="mounted specimen"/>
    <s v="Adult"/>
    <m/>
    <s v="DSC_0613.JPG"/>
    <s v="DSC_0612.JPG"/>
  </r>
  <r>
    <s v="MZURORN2025-021"/>
    <s v="PreservedSpecimen"/>
    <s v="n.a."/>
    <s v=""/>
    <s v=""/>
    <x v="4"/>
    <s v=""/>
    <s v=""/>
    <s v="n.a."/>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n.a."/>
    <m/>
    <m/>
    <x v="1"/>
    <s v=""/>
    <x v="2"/>
    <s v="n.a."/>
    <s v="PreservedSpecimen"/>
    <s v="ITA/ING"/>
    <s v="MZUR"/>
    <s v="ORN2025"/>
    <m/>
    <s v="Unknown"/>
    <s v="MZURORN2025-021"/>
    <n v="1"/>
    <n v="1"/>
    <s v="individuals"/>
    <s v="field collection"/>
    <s v="mounted specimen"/>
    <s v="Adult"/>
    <m/>
    <s v="DSC_0615.JPG"/>
    <s v="DSC_0614.JPG"/>
  </r>
  <r>
    <s v="MZURORN2025-022"/>
    <s v="PreservedSpecimen"/>
    <s v="n.a."/>
    <s v=""/>
    <s v=""/>
    <x v="4"/>
    <s v=""/>
    <s v=""/>
    <s v="n.a."/>
    <s v="Linnaeus, 1758"/>
    <x v="15"/>
    <s v="Animalia|Chordata|Aves|Passeriformes|Muscicapidae|Erithacus"/>
    <s v="Animalia"/>
    <s v="Chordata"/>
    <s v="Aves"/>
    <s v="Passeriformes"/>
    <s v="Muscicapidae"/>
    <x v="14"/>
    <s v="rubecula"/>
    <s v="Species"/>
    <s v="European robin"/>
    <m/>
    <s v="ICZN"/>
    <m/>
    <m/>
    <s v="WGS84"/>
    <m/>
    <m/>
    <m/>
    <d v="2026-02-01T00:00:00"/>
    <s v="MaNIS georeferencing guidelines"/>
    <s v="Google Maps"/>
    <s v="verified by contributor"/>
    <s v="n.a."/>
    <m/>
    <m/>
    <x v="1"/>
    <s v=""/>
    <x v="2"/>
    <s v="n.a."/>
    <s v="PreservedSpecimen"/>
    <s v="ITA/ING"/>
    <s v="MZUR"/>
    <s v="ORN2025"/>
    <m/>
    <s v="Unknown"/>
    <s v="MZURORN2025-022"/>
    <n v="1"/>
    <n v="1"/>
    <s v="individuals"/>
    <s v="field collection"/>
    <s v="mounted specimen"/>
    <s v="Adult"/>
    <m/>
    <s v="DSC_0617.JPG"/>
    <s v="DSC_0616.JPG"/>
  </r>
  <r>
    <s v="MZURORN2025-023"/>
    <s v="PreservedSpecimen"/>
    <s v="n.a."/>
    <s v=""/>
    <s v=""/>
    <x v="4"/>
    <s v=""/>
    <s v=""/>
    <s v="n.a."/>
    <s v="Linnaeus, 1758"/>
    <x v="16"/>
    <s v="Animalia|Chordata|Aves|Passeriformes|Fringillinae|Fringilla"/>
    <s v="Animalia"/>
    <s v="Chordata"/>
    <s v="Aves"/>
    <s v="Passeriformes"/>
    <s v="Fringillinae"/>
    <x v="15"/>
    <s v="coelebs"/>
    <s v="Species"/>
    <s v="Eurasian chaffinch"/>
    <m/>
    <s v="ICZN"/>
    <m/>
    <m/>
    <s v="WGS84"/>
    <m/>
    <m/>
    <m/>
    <d v="2026-02-01T00:00:00"/>
    <s v="MaNIS georeferencing guidelines"/>
    <s v="Google Maps"/>
    <s v="verified by contributor"/>
    <s v="n.a."/>
    <m/>
    <m/>
    <x v="1"/>
    <s v=""/>
    <x v="2"/>
    <s v="n.a."/>
    <s v="PreservedSpecimen"/>
    <s v="ITA/ING"/>
    <s v="MZUR"/>
    <s v="ORN2025"/>
    <m/>
    <s v="Male"/>
    <s v="MZURORN2025-023"/>
    <n v="1"/>
    <n v="1"/>
    <s v="individuals"/>
    <s v="field collection"/>
    <s v="mounted specimen"/>
    <s v="Adult"/>
    <m/>
    <s v="DSC_0619.JPG"/>
    <s v="DSC_0618.JPG"/>
  </r>
  <r>
    <s v="MZURORN2025-024"/>
    <s v="PreservedSpecimen"/>
    <n v="1886"/>
    <n v="59"/>
    <n v="59"/>
    <x v="13"/>
    <n v="2"/>
    <n v="28"/>
    <d v="1905-02-28T00:00:00"/>
    <s v="Linnaeus, 1758"/>
    <x v="17"/>
    <s v="Animalia|Chordata|Aves|Passeriformes|Oriolidae|Oriolus"/>
    <s v="Animalia"/>
    <s v="Chordata"/>
    <s v="Aves"/>
    <s v="Passeriformes"/>
    <s v="Oriolidae"/>
    <x v="16"/>
    <s v="oriolus"/>
    <s v="Species"/>
    <s v="Eurasian golden oriole"/>
    <m/>
    <s v="ICZN"/>
    <m/>
    <m/>
    <s v="WGS84"/>
    <m/>
    <m/>
    <m/>
    <d v="2026-02-01T00:00:00"/>
    <s v="MaNIS georeferencing guidelines"/>
    <s v="Google Maps"/>
    <s v="verified by contributor"/>
    <s v="Europa | Italy | Lazio | Rome"/>
    <s v="Europa"/>
    <m/>
    <x v="0"/>
    <s v="ITA"/>
    <x v="0"/>
    <s v="Rome"/>
    <s v="PreservedSpecimen"/>
    <s v="ITA/ING"/>
    <s v="MZUR"/>
    <s v="ORN2025"/>
    <m/>
    <s v="Unknown"/>
    <s v="MZURORN2025-024"/>
    <n v="1"/>
    <n v="1"/>
    <s v="individuals"/>
    <s v="field collection"/>
    <s v="mounted specimen"/>
    <s v="Adult"/>
    <m/>
    <s v="DSC_0621.JPG"/>
    <s v="DSC_0620.JPG"/>
  </r>
  <r>
    <s v="MZURORN2025-025"/>
    <s v="PreservedSpecimen"/>
    <d v="1957-12-08T00:00:00"/>
    <n v="342"/>
    <n v="342"/>
    <x v="10"/>
    <n v="12"/>
    <n v="8"/>
    <d v="1957-12-08T00:00:0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Piedmont | Vernante"/>
    <s v="Europa"/>
    <m/>
    <x v="0"/>
    <s v="ITA"/>
    <x v="1"/>
    <s v="Vernante"/>
    <s v="PreservedSpecimen"/>
    <s v="ITA/ING"/>
    <s v="MZUR"/>
    <s v="ORN2025"/>
    <m/>
    <s v="Male"/>
    <s v="MZURORN2025-025"/>
    <n v="1"/>
    <n v="1"/>
    <s v="individuals"/>
    <s v="field collection"/>
    <s v="mounted specimen"/>
    <s v="Adult"/>
    <m/>
    <s v="DSC_0623.JPG"/>
    <s v="DSC_0622.JPG"/>
  </r>
  <r>
    <s v="MZURORN2025-026"/>
    <s v="PreservedSpecimen"/>
    <s v="n.a."/>
    <s v=""/>
    <s v=""/>
    <x v="4"/>
    <s v=""/>
    <s v=""/>
    <s v="n.a."/>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n.a. | n.a."/>
    <m/>
    <m/>
    <x v="7"/>
    <s v=""/>
    <x v="2"/>
    <s v="n.a."/>
    <s v="PreservedSpecimen"/>
    <s v="ITA/ING"/>
    <s v="MZUR"/>
    <s v="ORN2025"/>
    <m/>
    <s v="Unknown"/>
    <s v="MZURORN2025-026"/>
    <n v="1"/>
    <n v="1"/>
    <s v="individuals"/>
    <s v="field collection"/>
    <s v="mounted specimen"/>
    <s v="Adult"/>
    <m/>
    <s v="DSC_0625.JPG"/>
    <s v="DSC_0624.JPG"/>
  </r>
  <r>
    <s v="MZURORN2025-027"/>
    <s v="PreservedSpecimen"/>
    <n v="1956"/>
    <n v="129"/>
    <n v="129"/>
    <x v="14"/>
    <n v="5"/>
    <n v="9"/>
    <d v="1905-05-09T00:00:00"/>
    <s v="Linnaeus, 1758"/>
    <x v="20"/>
    <s v="Animalia|Chordata|Aves|Accipitriformes|Accipitridae|Circus"/>
    <s v="Animalia"/>
    <s v="Chordata"/>
    <s v="Aves"/>
    <s v="Accipitriformes"/>
    <s v="Accipitridae"/>
    <x v="19"/>
    <s v="aeruginosus"/>
    <s v="Species"/>
    <s v="Western marsh harrier"/>
    <m/>
    <s v="ICZN"/>
    <m/>
    <m/>
    <s v="WGS84"/>
    <m/>
    <m/>
    <m/>
    <d v="2026-02-01T00:00:00"/>
    <s v="MaNIS georeferencing guidelines"/>
    <s v="Google Maps"/>
    <s v="verified by contributor"/>
    <s v="Europa | Italy | Veneto | Selvazzano"/>
    <s v="Europa"/>
    <m/>
    <x v="0"/>
    <s v="ITA"/>
    <x v="3"/>
    <s v="Selvazzano"/>
    <s v="PreservedSpecimen"/>
    <s v="ITA/ING"/>
    <s v="MZUR"/>
    <s v="ORN2025"/>
    <m/>
    <s v="Female"/>
    <s v="MZURORN2025-027"/>
    <n v="1"/>
    <n v="1"/>
    <s v="individuals"/>
    <s v="field collection"/>
    <s v="mounted specimen"/>
    <s v="Adult"/>
    <m/>
    <s v="DSC_0627.JPG"/>
    <s v="DSC_0626.JPG"/>
  </r>
  <r>
    <s v="MZURORN2025-028"/>
    <s v="PreservedSpecimen"/>
    <d v="1957-09-24T00:00:00"/>
    <n v="267"/>
    <n v="267"/>
    <x v="10"/>
    <n v="9"/>
    <n v="24"/>
    <d v="1957-09-24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Cuneo"/>
    <s v="Europa"/>
    <m/>
    <x v="0"/>
    <s v="ITA"/>
    <x v="1"/>
    <s v="Cuneo"/>
    <s v="PreservedSpecimen"/>
    <s v="ITA/ING"/>
    <s v="MZUR"/>
    <s v="ORN2025"/>
    <m/>
    <s v="Female"/>
    <s v="MZURORN2025-028"/>
    <n v="1"/>
    <n v="1"/>
    <s v="individuals"/>
    <s v="field collection"/>
    <s v="mounted specimen"/>
    <s v="Adult"/>
    <m/>
    <s v="DSC_0629.JPG"/>
    <s v="DSC_0628.JPG"/>
  </r>
  <r>
    <s v="MZURORN2025-029"/>
    <s v="PreservedSpecimen"/>
    <d v="1959-04-15T00:00:00"/>
    <n v="105"/>
    <n v="105"/>
    <x v="2"/>
    <n v="4"/>
    <n v="15"/>
    <d v="1959-04-15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029"/>
    <n v="1"/>
    <n v="1"/>
    <s v="individuals"/>
    <s v="field collection"/>
    <s v="mounted specimen"/>
    <s v="Adult"/>
    <m/>
    <s v="DSC_0640.JPG"/>
    <s v="DSC_0630.JPG"/>
  </r>
  <r>
    <s v="MZURORN2025-030"/>
    <s v="PreservedSpecimen"/>
    <d v="1957-11-26T00:00:00"/>
    <n v="330"/>
    <n v="330"/>
    <x v="10"/>
    <n v="11"/>
    <n v="26"/>
    <d v="1957-11-26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30"/>
    <n v="1"/>
    <n v="1"/>
    <s v="individuals"/>
    <s v="field collection"/>
    <s v="mounted specimen"/>
    <s v="Adult"/>
    <m/>
    <s v="DSC_0642.JPG"/>
    <s v="DSC_0641.JPG"/>
  </r>
  <r>
    <s v="MZURORN2025-031"/>
    <s v="PreservedSpecimen"/>
    <s v="n.a."/>
    <s v=""/>
    <s v=""/>
    <x v="4"/>
    <s v=""/>
    <s v=""/>
    <s v="n.a."/>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n.a. | n.a."/>
    <m/>
    <m/>
    <x v="7"/>
    <s v=""/>
    <x v="2"/>
    <s v="n.a."/>
    <s v="PreservedSpecimen"/>
    <s v="ITA/ING"/>
    <s v="MZUR"/>
    <s v="ORN2025"/>
    <m/>
    <s v="Unknown"/>
    <s v="MZURORN2025-031"/>
    <n v="1"/>
    <n v="1"/>
    <s v="individuals"/>
    <s v="field collection"/>
    <s v="mounted specimen"/>
    <s v="Adult"/>
    <m/>
    <s v="DSC_0644.JPG"/>
    <s v="DSC_0643.JPG"/>
  </r>
  <r>
    <s v="MZURORN2025-032"/>
    <s v="PreservedSpecimen"/>
    <s v="n.a."/>
    <s v=""/>
    <s v=""/>
    <x v="4"/>
    <s v=""/>
    <s v=""/>
    <s v="n.a."/>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Europa | Italy | Lazio | Rome"/>
    <s v="Europa"/>
    <m/>
    <x v="0"/>
    <s v="ITA"/>
    <x v="0"/>
    <s v="Rome"/>
    <s v="PreservedSpecimen"/>
    <s v="ITA/ING"/>
    <s v="MZUR"/>
    <s v="ORN2025"/>
    <m/>
    <s v="Unknown"/>
    <s v="MZURORN2025-032"/>
    <n v="1"/>
    <n v="1"/>
    <s v="individuals"/>
    <s v="field collection"/>
    <s v="mounted specimen"/>
    <s v="Adult"/>
    <m/>
    <s v="DSC_0646.JPG"/>
    <s v="DSC_0645.JPG"/>
  </r>
  <r>
    <s v="MZURORN2025-033"/>
    <s v="PreservedSpecimen"/>
    <d v="1961-10-09T00:00:00"/>
    <n v="282"/>
    <n v="282"/>
    <x v="15"/>
    <n v="10"/>
    <n v="9"/>
    <d v="1961-10-09T00:00:00"/>
    <s v="Linnaeus, 1758"/>
    <x v="24"/>
    <s v="Animalia|Chordata|Aves|Gruiformes|Rallidae|Fulica"/>
    <s v="Animalia"/>
    <s v="Chordata"/>
    <s v="Aves"/>
    <s v="Gruiformes"/>
    <s v="Rallidae"/>
    <x v="23"/>
    <s v="atra"/>
    <s v="Species"/>
    <s v="Eurasian coot"/>
    <m/>
    <s v="ICZN"/>
    <m/>
    <m/>
    <s v="WGS84"/>
    <m/>
    <m/>
    <m/>
    <d v="2026-02-01T00:00:00"/>
    <s v="MaNIS georeferencing guidelines"/>
    <s v="Google Maps"/>
    <s v="verified by contributor"/>
    <s v="Europa | Italy | Piedmont | Pietraporzio"/>
    <s v="Europa"/>
    <m/>
    <x v="0"/>
    <s v="ITA"/>
    <x v="1"/>
    <s v="Pietraporzio"/>
    <s v="PreservedSpecimen"/>
    <s v="ITA/ING"/>
    <s v="MZUR"/>
    <s v="ORN2025"/>
    <m/>
    <s v="Male"/>
    <s v="MZURORN2025-033"/>
    <n v="1"/>
    <n v="1"/>
    <s v="individuals"/>
    <s v="field collection"/>
    <s v="mounted specimen"/>
    <s v="Adult"/>
    <m/>
    <s v="DSC_0648.JPG"/>
    <s v="DSC_0647.JPG"/>
  </r>
  <r>
    <s v="MZURORN2025-034"/>
    <s v="PreservedSpecimen"/>
    <s v="n.a."/>
    <s v=""/>
    <s v=""/>
    <x v="4"/>
    <s v=""/>
    <s v=""/>
    <s v="n.a."/>
    <s v="Linnaeus, 1758"/>
    <x v="24"/>
    <s v="Animalia|Chordata|Aves|Gruiformes|Rallidae|Fulica"/>
    <s v="Animalia"/>
    <s v="Chordata"/>
    <s v="Aves"/>
    <s v="Gruiformes"/>
    <s v="Rallidae"/>
    <x v="23"/>
    <s v="atra"/>
    <s v="Species"/>
    <s v="Eurasian coot"/>
    <m/>
    <s v="ICZN"/>
    <m/>
    <m/>
    <s v="WGS84"/>
    <m/>
    <m/>
    <m/>
    <d v="2026-02-01T00:00:00"/>
    <s v="MaNIS georeferencing guidelines"/>
    <s v="Google Maps"/>
    <s v="verified by contributor"/>
    <s v="n.a."/>
    <m/>
    <m/>
    <x v="1"/>
    <s v=""/>
    <x v="2"/>
    <s v="n.a."/>
    <s v="PreservedSpecimen"/>
    <s v="ITA/ING"/>
    <s v="MZUR"/>
    <s v="ORN2025"/>
    <m/>
    <s v="Unknown"/>
    <s v="MZURORN2025-034"/>
    <n v="1"/>
    <n v="1"/>
    <s v="individuals"/>
    <s v="field collection"/>
    <s v="mounted specimen"/>
    <s v="Adult"/>
    <m/>
    <s v="DSC_0650.JPG"/>
    <s v="DSC_0649.JPG"/>
  </r>
  <r>
    <s v="MZURORN2025-035"/>
    <s v="PreservedSpecimen"/>
    <s v="n.a."/>
    <s v=""/>
    <s v=""/>
    <x v="4"/>
    <s v=""/>
    <s v=""/>
    <s v="n.a."/>
    <s v="Linnaeus, 1758"/>
    <x v="25"/>
    <s v="Animalia|Chordata|Aves|Gruiformes|Rallidae|Gallinula"/>
    <s v="Animalia"/>
    <s v="Chordata"/>
    <s v="Aves"/>
    <s v="Gruiformes"/>
    <s v="Rallidae"/>
    <x v="24"/>
    <s v="chloropus"/>
    <s v="Species"/>
    <s v="Common moorhen"/>
    <m/>
    <s v="ICZN"/>
    <m/>
    <m/>
    <s v="WGS84"/>
    <m/>
    <m/>
    <m/>
    <d v="2026-02-01T00:00:00"/>
    <s v="MaNIS georeferencing guidelines"/>
    <s v="Google Maps"/>
    <s v="verified by contributor"/>
    <s v="n.a."/>
    <m/>
    <m/>
    <x v="1"/>
    <s v=""/>
    <x v="2"/>
    <s v="n.a."/>
    <s v="PreservedSpecimen"/>
    <s v="ITA/ING"/>
    <s v="MZUR"/>
    <s v="ORN2025"/>
    <m/>
    <s v="Unknown"/>
    <s v="MZURORN2025-035"/>
    <n v="1"/>
    <n v="1"/>
    <s v="individuals"/>
    <s v="field collection"/>
    <s v="mounted specimen"/>
    <s v="Adult"/>
    <m/>
    <s v="DSC_0652.JPG"/>
    <s v="DSC_0651.JPG"/>
  </r>
  <r>
    <s v="MZURORN2025-036"/>
    <s v="PreservedSpecimen"/>
    <s v="n.a."/>
    <s v=""/>
    <s v=""/>
    <x v="4"/>
    <s v=""/>
    <s v=""/>
    <s v="n.a."/>
    <s v="Linnaeus, 1758"/>
    <x v="26"/>
    <s v="Animalia|Chordata|Aves|Podicipediformes|Podicipedidae|Podiceps"/>
    <s v="Animalia"/>
    <s v="Chordata"/>
    <s v="Aves"/>
    <s v="Podicipediformes"/>
    <s v="Podicipedidae"/>
    <x v="25"/>
    <s v="cristatus"/>
    <s v="Species"/>
    <s v="Great crested grebe"/>
    <m/>
    <s v="ICZN"/>
    <m/>
    <m/>
    <s v="WGS84"/>
    <m/>
    <m/>
    <m/>
    <d v="2026-02-01T00:00:00"/>
    <s v="MaNIS georeferencing guidelines"/>
    <s v="Google Maps"/>
    <s v="verified by contributor"/>
    <s v="n.a."/>
    <m/>
    <m/>
    <x v="1"/>
    <s v=""/>
    <x v="2"/>
    <s v="n.a."/>
    <s v="PreservedSpecimen"/>
    <s v="ITA/ING"/>
    <s v="MZUR"/>
    <s v="ORN2025"/>
    <m/>
    <s v="Male"/>
    <s v="MZURORN2025-036"/>
    <n v="1"/>
    <n v="1"/>
    <s v="individuals"/>
    <s v="field collection"/>
    <s v="mounted specimen"/>
    <s v="Adult"/>
    <m/>
    <s v="DSC_0654.JPG"/>
    <s v="DSC_0653.JPG"/>
  </r>
  <r>
    <s v="MZURORN2025-037"/>
    <s v="PreservedSpecimen"/>
    <n v="1889"/>
    <n v="62"/>
    <n v="62"/>
    <x v="16"/>
    <n v="3"/>
    <n v="3"/>
    <d v="1905-03-03T00:00:00"/>
    <s v="Linnaeus, 1758"/>
    <x v="27"/>
    <s v="Animalia|Chordata|Aves|Pelecaniformes|Ardeidae|Nycticorax"/>
    <s v="Animalia"/>
    <s v="Chordata"/>
    <s v="Aves"/>
    <s v="Pelecaniformes"/>
    <s v="Ardeidae"/>
    <x v="26"/>
    <s v="nycticorax"/>
    <s v="Species"/>
    <s v="Black-crowned night heron"/>
    <m/>
    <s v="ICZN"/>
    <m/>
    <m/>
    <s v="WGS84"/>
    <m/>
    <m/>
    <m/>
    <d v="2026-02-01T00:00:00"/>
    <s v="MaNIS georeferencing guidelines"/>
    <s v="Google Maps"/>
    <s v="verified by contributor"/>
    <s v="Europa | Italy | Lazio | Rome"/>
    <s v="Europa"/>
    <m/>
    <x v="0"/>
    <s v="ITA"/>
    <x v="0"/>
    <s v="Rome"/>
    <s v="PreservedSpecimen"/>
    <s v="ITA/ING"/>
    <s v="MZUR"/>
    <s v="ORN2025"/>
    <m/>
    <s v="Unknown"/>
    <s v="MZURORN2025-037"/>
    <n v="1"/>
    <n v="1"/>
    <s v="individuals"/>
    <s v="field collection"/>
    <s v="mounted specimen"/>
    <s v="Adult"/>
    <m/>
    <s v="DSC_0656.JPG"/>
    <s v="DSC_0655.JPG"/>
  </r>
  <r>
    <s v="MZURORN2025-038"/>
    <s v="PreservedSpecimen"/>
    <d v="1959-04-19T00:00:00"/>
    <n v="109"/>
    <n v="109"/>
    <x v="2"/>
    <n v="4"/>
    <n v="19"/>
    <d v="1959-04-19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Veneto | Battaglia Terme"/>
    <s v="Europa"/>
    <m/>
    <x v="0"/>
    <s v="ITA"/>
    <x v="3"/>
    <s v="Battaglia Terme"/>
    <s v="PreservedSpecimen"/>
    <s v="ITA/ING"/>
    <s v="MZUR"/>
    <s v="ORN2025"/>
    <m/>
    <s v="Female"/>
    <s v="MZURORN2025-038"/>
    <n v="1"/>
    <n v="1"/>
    <s v="individuals"/>
    <s v="field collection"/>
    <s v="mounted specimen"/>
    <s v="Adult"/>
    <m/>
    <s v="DSC_0658.JPG"/>
    <s v="DSC_0657.JPG"/>
  </r>
  <r>
    <s v="MZURORN2025-039"/>
    <s v="PreservedSpecimen"/>
    <s v="n.a."/>
    <s v=""/>
    <s v=""/>
    <x v="4"/>
    <s v=""/>
    <s v=""/>
    <s v="n.a."/>
    <s v="Scopoli, 1769"/>
    <x v="29"/>
    <s v="Animalia|Chordata|Aves|Strigiformes|Strigidae|Athene"/>
    <s v="Animalia"/>
    <s v="Chordata"/>
    <s v="Aves"/>
    <s v="Strigiformes"/>
    <s v="Strigidae"/>
    <x v="28"/>
    <s v="noctua"/>
    <s v="Species"/>
    <s v="Little owl"/>
    <m/>
    <s v="ICZN"/>
    <m/>
    <m/>
    <s v="WGS84"/>
    <m/>
    <m/>
    <m/>
    <d v="2026-02-01T00:00:00"/>
    <s v="MaNIS georeferencing guidelines"/>
    <s v="Google Maps"/>
    <s v="verified by contributor"/>
    <s v="n.a."/>
    <m/>
    <m/>
    <x v="1"/>
    <s v=""/>
    <x v="2"/>
    <s v="n.a."/>
    <s v="PreservedSpecimen"/>
    <s v="ITA/ING"/>
    <s v="MZUR"/>
    <s v="ORN2025"/>
    <m/>
    <s v="Unknown"/>
    <s v="MZURORN2025-039"/>
    <n v="1"/>
    <n v="1"/>
    <s v="individuals"/>
    <s v="field collection"/>
    <s v="mounted specimen"/>
    <s v="Adult"/>
    <m/>
    <s v="DSC_0660.JPG"/>
    <s v="DSC_0659.JPG"/>
  </r>
  <r>
    <s v="MZURORN2025-040"/>
    <s v="PreservedSpecimen"/>
    <s v="n.a."/>
    <s v=""/>
    <s v=""/>
    <x v="4"/>
    <s v=""/>
    <s v=""/>
    <s v="n.a."/>
    <s v="Linnaeus, 1758"/>
    <x v="30"/>
    <s v="Animalia|Chordata|Aves|Strigiformes|Strigidae|Bubo"/>
    <s v="Animalia"/>
    <s v="Chordata"/>
    <s v="Aves"/>
    <s v="Strigiformes"/>
    <s v="Strigidae"/>
    <x v="29"/>
    <s v="bubo"/>
    <s v="Species"/>
    <s v="Eurasian eagle-owl"/>
    <m/>
    <s v="ICZN"/>
    <m/>
    <m/>
    <s v="WGS84"/>
    <m/>
    <m/>
    <m/>
    <d v="2026-02-01T00:00:00"/>
    <s v="MaNIS georeferencing guidelines"/>
    <s v="Google Maps"/>
    <s v="verified by contributor"/>
    <s v="n.a."/>
    <m/>
    <m/>
    <x v="1"/>
    <s v=""/>
    <x v="2"/>
    <s v="n.a."/>
    <s v="PreservedSpecimen"/>
    <s v="ITA/ING"/>
    <s v="MZUR"/>
    <s v="ORN2025"/>
    <m/>
    <s v="Unknown"/>
    <s v="MZURORN2025-040"/>
    <n v="1"/>
    <n v="1"/>
    <s v="individuals"/>
    <s v="field collection"/>
    <s v="mounted specimen"/>
    <s v="Adult"/>
    <m/>
    <s v="DSC_0662.JPG"/>
    <s v="DSC_0661.JPG"/>
  </r>
  <r>
    <s v="MZURORN2025-041"/>
    <s v="PreservedSpecimen"/>
    <s v="n.a."/>
    <s v=""/>
    <s v=""/>
    <x v="4"/>
    <s v=""/>
    <s v=""/>
    <s v="n.a."/>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n.a."/>
    <m/>
    <m/>
    <x v="1"/>
    <s v=""/>
    <x v="2"/>
    <s v="n.a."/>
    <s v="PreservedSpecimen"/>
    <s v="ITA/ING"/>
    <s v="MZUR"/>
    <s v="ORN2025"/>
    <m/>
    <s v="Unknown"/>
    <s v="MZURORN2025-041"/>
    <n v="1"/>
    <n v="1"/>
    <s v="individuals"/>
    <s v="field collection"/>
    <s v="mounted specimen"/>
    <s v="Adult"/>
    <m/>
    <s v="DSC_0666.JPG"/>
    <s v="DSC_0665.JPG"/>
  </r>
  <r>
    <s v="MZURORN2025-042"/>
    <s v="PreservedSpecimen"/>
    <n v="1885"/>
    <n v="58"/>
    <n v="58"/>
    <x v="17"/>
    <n v="2"/>
    <n v="27"/>
    <d v="1905-02-27T00:00:00"/>
    <s v="Linnaeus, 1758"/>
    <x v="31"/>
    <s v="Animalia|Chordata|Aves|Strigiformes|Strigidae|Strix"/>
    <s v="Animalia"/>
    <s v="Chordata"/>
    <s v="Aves"/>
    <s v="Strigiformes"/>
    <s v="Strigidae"/>
    <x v="30"/>
    <s v="aluco"/>
    <s v="Species"/>
    <s v="Tawny owl"/>
    <m/>
    <s v="ICZN"/>
    <m/>
    <m/>
    <s v="WGS84"/>
    <m/>
    <m/>
    <m/>
    <d v="2026-02-01T00:00:00"/>
    <s v="MaNIS georeferencing guidelines"/>
    <s v="Google Maps"/>
    <s v="verified by contributor"/>
    <s v="Europa | Italy | Lazio | Ostia"/>
    <s v="Europa"/>
    <m/>
    <x v="0"/>
    <s v="ITA"/>
    <x v="0"/>
    <s v="Ostia"/>
    <s v="PreservedSpecimen"/>
    <s v="ITA/ING"/>
    <s v="MZUR"/>
    <s v="ORN2025"/>
    <m/>
    <s v="Female"/>
    <s v="MZURORN2025-042"/>
    <n v="1"/>
    <n v="1"/>
    <s v="individuals"/>
    <s v="field collection"/>
    <s v="mounted specimen"/>
    <s v="Adult"/>
    <m/>
    <s v="DSC_0668.JPG"/>
    <s v="DSC_0667.JPG"/>
  </r>
  <r>
    <s v="MZURORN2025-043"/>
    <s v="PreservedSpecimen"/>
    <s v="n.a."/>
    <s v=""/>
    <s v=""/>
    <x v="4"/>
    <s v=""/>
    <s v=""/>
    <s v="n.a."/>
    <s v="Linnaeus, 1758"/>
    <x v="32"/>
    <s v="Animalia|Chordata|Aves|Strigiformes|Strigidae|Otus"/>
    <s v="Animalia"/>
    <s v="Chordata"/>
    <s v="Aves"/>
    <s v="Strigiformes"/>
    <s v="Strigidae"/>
    <x v="31"/>
    <s v="scops"/>
    <s v="Species"/>
    <s v="Eurasian scops owl"/>
    <m/>
    <s v="ICZN"/>
    <m/>
    <m/>
    <s v="WGS84"/>
    <m/>
    <m/>
    <m/>
    <d v="2026-02-01T00:00:00"/>
    <s v="MaNIS georeferencing guidelines"/>
    <s v="Google Maps"/>
    <s v="verified by contributor"/>
    <s v="Europa | Italy | Lazio | Rome"/>
    <s v="Europa"/>
    <m/>
    <x v="0"/>
    <s v="ITA"/>
    <x v="0"/>
    <s v="Rome"/>
    <s v="PreservedSpecimen"/>
    <s v="ITA/ING"/>
    <s v="MZUR"/>
    <s v="ORN2025"/>
    <m/>
    <s v="Unknown"/>
    <s v="MZURORN2025-043"/>
    <n v="1"/>
    <n v="1"/>
    <s v="individuals"/>
    <s v="field collection"/>
    <s v="mounted specimen"/>
    <s v="Adult"/>
    <m/>
    <s v="DSC_0670.JPG"/>
    <s v="DSC_0669.JPG"/>
  </r>
  <r>
    <s v="MZURORN2025-044"/>
    <s v="PreservedSpecimen"/>
    <n v="1875"/>
    <n v="48"/>
    <n v="48"/>
    <x v="18"/>
    <n v="2"/>
    <n v="17"/>
    <d v="1905-02-17T00:00:00"/>
    <s v="Scopoli, 1769"/>
    <x v="29"/>
    <s v="Animalia|Chordata|Aves|Strigiformes|Strigidae|Athene"/>
    <s v="Animalia"/>
    <s v="Chordata"/>
    <s v="Aves"/>
    <s v="Strigiformes"/>
    <s v="Strigidae"/>
    <x v="28"/>
    <s v="noctua"/>
    <s v="Species"/>
    <s v="Little owl"/>
    <m/>
    <s v="ICZN"/>
    <m/>
    <m/>
    <s v="WGS84"/>
    <m/>
    <m/>
    <m/>
    <d v="2026-02-01T00:00:00"/>
    <s v="MaNIS georeferencing guidelines"/>
    <s v="Google Maps"/>
    <s v="verified by contributor"/>
    <s v="Europa | Italy | Lazio | Rome"/>
    <s v="Europa"/>
    <m/>
    <x v="0"/>
    <s v="ITA"/>
    <x v="0"/>
    <s v="Rome"/>
    <s v="PreservedSpecimen"/>
    <s v="ITA/ING"/>
    <s v="MZUR"/>
    <s v="ORN2025"/>
    <m/>
    <s v="Unknown"/>
    <s v="MZURORN2025-044"/>
    <n v="1"/>
    <n v="1"/>
    <s v="individuals"/>
    <s v="field collection"/>
    <s v="mounted specimen"/>
    <s v="Adult"/>
    <m/>
    <s v="DSC_0672.JPG"/>
    <s v="DSC_0671.JPG"/>
  </r>
  <r>
    <s v="MZURORN2025-045"/>
    <s v="PreservedSpecimen"/>
    <s v="n.a."/>
    <s v=""/>
    <s v=""/>
    <x v="4"/>
    <s v=""/>
    <s v=""/>
    <s v="n.a."/>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n.a."/>
    <m/>
    <m/>
    <x v="1"/>
    <s v=""/>
    <x v="2"/>
    <s v="n.a."/>
    <s v="PreservedSpecimen"/>
    <s v="ITA/ING"/>
    <s v="MZUR"/>
    <s v="ORN2025"/>
    <m/>
    <s v="Unknown"/>
    <s v="MZURORN2025-045"/>
    <n v="1"/>
    <n v="1"/>
    <s v="individuals"/>
    <s v="field collection"/>
    <s v="mounted specimen"/>
    <s v="Adult"/>
    <m/>
    <s v="DSC_0674.JPG"/>
    <s v="DSC_0673.JPG"/>
  </r>
  <r>
    <s v="MZURORN2025-046"/>
    <s v="PreservedSpecimen"/>
    <d v="1958-10-10T00:00:00"/>
    <n v="283"/>
    <n v="283"/>
    <x v="19"/>
    <n v="10"/>
    <n v="10"/>
    <d v="1958-10-10T00:00:00"/>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46"/>
    <n v="1"/>
    <n v="1"/>
    <s v="individuals"/>
    <s v="field collection"/>
    <s v="mounted specimen"/>
    <s v="Adult"/>
    <m/>
    <s v="DSC_0676.JPG"/>
    <s v="DSC_0675.JPG"/>
  </r>
  <r>
    <s v="MZURORN2025-047"/>
    <s v="PreservedSpecimen"/>
    <n v="1888"/>
    <n v="61"/>
    <n v="61"/>
    <x v="20"/>
    <n v="3"/>
    <n v="2"/>
    <d v="1905-03-02T00:00:0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Lazio | Rome"/>
    <s v="Europa"/>
    <m/>
    <x v="0"/>
    <s v="ITA"/>
    <x v="0"/>
    <s v="Rome"/>
    <s v="PreservedSpecimen"/>
    <s v="ITA/ING"/>
    <s v="MZUR"/>
    <s v="ORN2025"/>
    <m/>
    <s v="Female"/>
    <s v="MZURORN2025-047"/>
    <n v="1"/>
    <n v="1"/>
    <s v="individuals"/>
    <s v="field collection"/>
    <s v="mounted specimen"/>
    <s v="Adult"/>
    <m/>
    <s v="DSC_0678.JPG"/>
    <s v="DSC_0677.JPG"/>
  </r>
  <r>
    <s v="MZURORN2025-048"/>
    <s v="PreservedSpecimen"/>
    <n v="1975"/>
    <n v="148"/>
    <n v="148"/>
    <x v="21"/>
    <n v="5"/>
    <n v="28"/>
    <d v="1905-05-28T00:00:00"/>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n.a."/>
    <m/>
    <m/>
    <x v="1"/>
    <s v=""/>
    <x v="2"/>
    <s v="n.a."/>
    <s v="PreservedSpecimen"/>
    <s v="ITA/ING"/>
    <s v="MZUR"/>
    <s v="ORN2025"/>
    <m/>
    <s v="Male"/>
    <s v="MZURORN2025-048"/>
    <n v="1"/>
    <n v="1"/>
    <s v="individuals"/>
    <s v="field collection"/>
    <s v="mounted specimen"/>
    <s v="Adult"/>
    <m/>
    <s v="DSC_0680.JPG"/>
    <s v="DSC_0679.JPG"/>
  </r>
  <r>
    <s v="MZURORN2025-049"/>
    <s v="PreservedSpecimen"/>
    <s v="n.a."/>
    <s v=""/>
    <s v=""/>
    <x v="4"/>
    <s v=""/>
    <s v=""/>
    <s v="n.a."/>
    <s v="Linnaeus, 1758"/>
    <x v="35"/>
    <s v="Animalia|Chordata|Aves|Anseriformes|Anatidae|Anas"/>
    <s v="Animalia"/>
    <s v="Chordata"/>
    <s v="Aves"/>
    <s v="Anseriformes"/>
    <s v="Anatidae"/>
    <x v="34"/>
    <s v="crecca"/>
    <s v="Species"/>
    <s v="Eurasian teal"/>
    <m/>
    <s v="ICZN"/>
    <m/>
    <m/>
    <s v="WGS84"/>
    <m/>
    <m/>
    <m/>
    <d v="2026-02-01T00:00:00"/>
    <s v="MaNIS georeferencing guidelines"/>
    <s v="Google Maps"/>
    <s v="verified by contributor"/>
    <s v="n.a."/>
    <m/>
    <m/>
    <x v="1"/>
    <s v=""/>
    <x v="2"/>
    <s v="n.a."/>
    <s v="PreservedSpecimen"/>
    <s v="ITA/ING"/>
    <s v="MZUR"/>
    <s v="ORN2025"/>
    <m/>
    <s v="Unknown"/>
    <s v="MZURORN2025-049"/>
    <n v="1"/>
    <n v="1"/>
    <s v="individuals"/>
    <s v="field collection"/>
    <s v="mounted specimen"/>
    <s v="Adult"/>
    <m/>
    <s v="DSC_0682.JPG"/>
    <s v="DSC_0681.JPG"/>
  </r>
  <r>
    <s v="MZURORN2025-050"/>
    <s v="PreservedSpecimen"/>
    <d v="1978-03-30T00:00:00"/>
    <n v="89"/>
    <n v="89"/>
    <x v="9"/>
    <n v="3"/>
    <n v="30"/>
    <d v="1978-03-30T00:00:00"/>
    <s v="Linnaeus, 1758"/>
    <x v="36"/>
    <s v="Animalia|Chordata|Aves|Anseriformes|Anatidae|Spatula"/>
    <s v="Animalia"/>
    <s v="Chordata"/>
    <s v="Aves"/>
    <s v="Anseriformes"/>
    <s v="Anatidae"/>
    <x v="35"/>
    <s v="querquedula"/>
    <s v="Species"/>
    <s v="Garganey"/>
    <m/>
    <s v="ICZN"/>
    <m/>
    <m/>
    <s v="WGS84"/>
    <m/>
    <m/>
    <m/>
    <d v="2026-02-01T00:00:00"/>
    <s v="MaNIS georeferencing guidelines"/>
    <s v="Google Maps"/>
    <s v="verified by contributor"/>
    <s v="Europa | Italy | Lazio | Tarquinia"/>
    <s v="Europa"/>
    <m/>
    <x v="0"/>
    <s v="ITA"/>
    <x v="0"/>
    <s v="Tarquinia"/>
    <s v="PreservedSpecimen"/>
    <s v="ITA/ING"/>
    <s v="MZUR"/>
    <s v="ORN2025"/>
    <m/>
    <s v="Male"/>
    <s v="MZURORN2025-050"/>
    <n v="1"/>
    <n v="1"/>
    <s v="individuals"/>
    <s v="field collection"/>
    <s v="mounted specimen"/>
    <s v="Adult"/>
    <m/>
    <s v="DSC_0684.JPG"/>
    <s v="DSC_0683.JPG"/>
  </r>
  <r>
    <s v="MZURORN2025-051"/>
    <s v="PreservedSpecimen"/>
    <s v="n.a."/>
    <s v=""/>
    <s v=""/>
    <x v="4"/>
    <s v=""/>
    <s v=""/>
    <s v="n.a."/>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Europa | Italy | Lazio | Rome"/>
    <s v="Europa"/>
    <m/>
    <x v="0"/>
    <s v="ITA"/>
    <x v="0"/>
    <s v="Rome"/>
    <s v="PreservedSpecimen"/>
    <s v="ITA/ING"/>
    <s v="MZUR"/>
    <s v="ORN2025"/>
    <m/>
    <s v="Female"/>
    <s v="MZURORN2025-051"/>
    <n v="1"/>
    <n v="1"/>
    <s v="individuals"/>
    <s v="field collection"/>
    <s v="mounted specimen"/>
    <s v="Adult"/>
    <m/>
    <s v="DSC_0686.JPG"/>
    <s v="DSC_0685.JPG"/>
  </r>
  <r>
    <s v="MZURORN2025-052"/>
    <s v="PreservedSpecimen"/>
    <s v="n.a."/>
    <s v=""/>
    <s v=""/>
    <x v="4"/>
    <s v=""/>
    <s v=""/>
    <s v="n.a."/>
    <s v="Spatula clypeata"/>
    <x v="37"/>
    <s v="Animalia|Chordata|Aves|Anseriformes|Anatidae|Spatula"/>
    <s v="Animalia"/>
    <s v="Chordata"/>
    <s v="Aves"/>
    <s v="Anseriformes"/>
    <s v="Anatidae"/>
    <x v="35"/>
    <s v="clypeata"/>
    <s v="Species"/>
    <s v="Northern shoveler"/>
    <m/>
    <s v="ICZN"/>
    <m/>
    <m/>
    <s v="WGS84"/>
    <m/>
    <m/>
    <m/>
    <d v="2026-02-01T00:00:00"/>
    <s v="MaNIS georeferencing guidelines"/>
    <s v="Google Maps"/>
    <s v="verified by contributor"/>
    <s v="n.a."/>
    <m/>
    <m/>
    <x v="1"/>
    <s v=""/>
    <x v="2"/>
    <s v="n.a."/>
    <s v="PreservedSpecimen"/>
    <s v="ITA/ING"/>
    <s v="MZUR"/>
    <s v="ORN2025"/>
    <m/>
    <s v="Unknown"/>
    <s v="MZURORN2025-052"/>
    <n v="1"/>
    <n v="1"/>
    <s v="individuals"/>
    <s v="field collection"/>
    <s v="mounted specimen"/>
    <s v="Adult"/>
    <m/>
    <s v="DSC_0688.JPG"/>
    <s v="DSC_0687.JPG"/>
  </r>
  <r>
    <s v="MZURORN2025-053"/>
    <s v="PreservedSpecimen"/>
    <n v="1875"/>
    <n v="48"/>
    <n v="48"/>
    <x v="18"/>
    <n v="2"/>
    <n v="17"/>
    <d v="1905-02-17T00:00:00"/>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Europa | Italy | Lazio | Rome"/>
    <s v="Europa"/>
    <m/>
    <x v="0"/>
    <s v="ITA"/>
    <x v="0"/>
    <s v="Rome"/>
    <s v="PreservedSpecimen"/>
    <s v="ITA/ING"/>
    <s v="MZUR"/>
    <s v="ORN2025"/>
    <m/>
    <s v="Female"/>
    <s v="MZURORN2025-053"/>
    <n v="1"/>
    <n v="1"/>
    <s v="individuals"/>
    <s v="field collection"/>
    <s v="mounted specimen"/>
    <s v="Adult"/>
    <m/>
    <s v="DSC_0690.JPG"/>
    <s v="DSC_0689.JPG"/>
  </r>
  <r>
    <s v="MZURORN2025-054"/>
    <s v="PreservedSpecimen"/>
    <s v="n.a."/>
    <s v=""/>
    <s v=""/>
    <x v="4"/>
    <s v=""/>
    <s v=""/>
    <s v="n.a."/>
    <s v="Guldenstadt, 1770"/>
    <x v="39"/>
    <s v="Animalia|Chordata|Aves|Anseriformes|Anatidae|Aythya"/>
    <s v="Animalia"/>
    <s v="Chordata"/>
    <s v="Aves"/>
    <s v="Anseriformes"/>
    <s v="Anatidae"/>
    <x v="33"/>
    <s v="nyroca"/>
    <s v="Species"/>
    <s v="Ferruginous duck"/>
    <m/>
    <s v="ICZN"/>
    <m/>
    <m/>
    <s v="WGS84"/>
    <m/>
    <m/>
    <m/>
    <d v="2026-02-01T00:00:00"/>
    <s v="MaNIS georeferencing guidelines"/>
    <s v="Google Maps"/>
    <s v="verified by contributor"/>
    <s v="n.a."/>
    <m/>
    <m/>
    <x v="1"/>
    <s v=""/>
    <x v="2"/>
    <s v="n.a."/>
    <s v="PreservedSpecimen"/>
    <s v="ITA/ING"/>
    <s v="MZUR"/>
    <s v="ORN2025"/>
    <m/>
    <s v="Unknown"/>
    <s v="MZURORN2025-054"/>
    <n v="1"/>
    <n v="1"/>
    <s v="individuals"/>
    <s v="field collection"/>
    <s v="mounted specimen"/>
    <s v="Adult"/>
    <m/>
    <s v="DSC_0692.JPG"/>
    <s v="DSC_0691.JPG"/>
  </r>
  <r>
    <s v="MZURORN2025-055"/>
    <s v="PreservedSpecimen"/>
    <s v="n.a."/>
    <s v=""/>
    <s v=""/>
    <x v="4"/>
    <s v=""/>
    <s v=""/>
    <s v="n.a."/>
    <s v="Linnaeus, 1758"/>
    <x v="40"/>
    <s v="Animalia|Chordata|Aves|Anseriformes|Anatidae|Anas"/>
    <s v="Animalia"/>
    <s v="Chordata"/>
    <s v="Aves"/>
    <s v="Anseriformes"/>
    <s v="Anatidae"/>
    <x v="34"/>
    <s v="acuta"/>
    <s v="Species"/>
    <s v="Northern pintail"/>
    <m/>
    <s v="ICZN"/>
    <m/>
    <m/>
    <s v="WGS84"/>
    <m/>
    <m/>
    <m/>
    <d v="2026-02-01T00:00:00"/>
    <s v="MaNIS georeferencing guidelines"/>
    <s v="Google Maps"/>
    <s v="verified by contributor"/>
    <s v="n.a."/>
    <m/>
    <m/>
    <x v="1"/>
    <s v=""/>
    <x v="2"/>
    <s v="n.a."/>
    <s v="PreservedSpecimen"/>
    <s v="ITA/ING"/>
    <s v="MZUR"/>
    <s v="ORN2025"/>
    <m/>
    <s v="Unknown"/>
    <s v="MZURORN2025-055"/>
    <n v="1"/>
    <n v="1"/>
    <s v="individuals"/>
    <s v="field collection"/>
    <s v="mounted specimen"/>
    <s v="Adult"/>
    <m/>
    <s v="DSC_0694.JPG"/>
    <s v="DSC_0693.JPG"/>
  </r>
  <r>
    <s v="MZURORN2025-056"/>
    <s v="PreservedSpecimen"/>
    <s v="n.a."/>
    <s v=""/>
    <s v=""/>
    <x v="4"/>
    <s v=""/>
    <s v=""/>
    <s v="n.a."/>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Lazio | Pontine Marshes"/>
    <s v="Europa"/>
    <m/>
    <x v="0"/>
    <s v="ITA"/>
    <x v="0"/>
    <s v="Pontine Marshes"/>
    <s v="PreservedSpecimen"/>
    <s v="ITA/ING"/>
    <s v="MZUR"/>
    <s v="ORN2025"/>
    <m/>
    <s v="Male"/>
    <s v="MZURORN2025-056"/>
    <n v="1"/>
    <n v="1"/>
    <s v="individuals"/>
    <s v="field collection"/>
    <s v="mounted specimen"/>
    <s v="Adult"/>
    <m/>
    <s v="DSC_0696.JPG"/>
    <s v="DSC_0695.JPG"/>
  </r>
  <r>
    <s v="MZURORN2025-057"/>
    <s v="PreservedSpecimen"/>
    <n v="1967"/>
    <n v="140"/>
    <n v="140"/>
    <x v="22"/>
    <n v="5"/>
    <n v="20"/>
    <d v="1905-05-20T00:00:00"/>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n.a."/>
    <m/>
    <m/>
    <x v="1"/>
    <s v=""/>
    <x v="2"/>
    <s v="n.a."/>
    <s v="PreservedSpecimen"/>
    <s v="ITA/ING"/>
    <s v="MZUR"/>
    <s v="ORN2025"/>
    <m/>
    <s v="Male"/>
    <s v="MZURORN2025-057"/>
    <n v="1"/>
    <n v="1"/>
    <s v="individuals"/>
    <s v="field collection"/>
    <s v="mounted specimen"/>
    <s v="Adult"/>
    <m/>
    <s v="DSC_0698.JPG"/>
    <s v="DSC_0697.JPG"/>
  </r>
  <r>
    <s v="MZURORN2025-058"/>
    <s v="PreservedSpecimen"/>
    <s v="n.a."/>
    <s v=""/>
    <s v=""/>
    <x v="4"/>
    <s v=""/>
    <s v=""/>
    <s v="n.a."/>
    <s v="Brandt, 1837"/>
    <x v="41"/>
    <s v="Animalia|Chordata|Aves|Sphenisciformes|Spheniscidae|Eudyptes"/>
    <s v="Animalia"/>
    <s v="Chordata"/>
    <s v="Aves"/>
    <s v="Sphenisciformes"/>
    <s v="Spheniscidae"/>
    <x v="36"/>
    <s v="chrysolophus"/>
    <s v="Species"/>
    <s v="Macaroni penguin"/>
    <m/>
    <s v="ICZN"/>
    <m/>
    <m/>
    <s v="WGS84"/>
    <m/>
    <m/>
    <m/>
    <d v="2026-02-01T00:00:00"/>
    <s v="MaNIS georeferencing guidelines"/>
    <s v="Google Maps"/>
    <s v="verified by contributor"/>
    <s v="n.a."/>
    <m/>
    <m/>
    <x v="1"/>
    <s v=""/>
    <x v="2"/>
    <s v="n.a."/>
    <s v="PreservedSpecimen"/>
    <s v="ITA/ING"/>
    <s v="MZUR"/>
    <s v="ORN2025"/>
    <m/>
    <s v="Unknown"/>
    <s v="MZURORN2025-058"/>
    <n v="1"/>
    <n v="1"/>
    <s v="individuals"/>
    <s v="field collection"/>
    <s v="mounted specimen"/>
    <s v="Adult"/>
    <m/>
    <s v="DSC_0700.JPG"/>
    <s v="DSC_0699.JPG"/>
  </r>
  <r>
    <s v="MZURORN2025-059"/>
    <s v="PreservedSpecimen"/>
    <s v="n.a."/>
    <s v=""/>
    <s v=""/>
    <x v="4"/>
    <s v=""/>
    <s v=""/>
    <s v="n.a."/>
    <s v="Temminck, 1815"/>
    <x v="42"/>
    <s v="Animalia|Chordata|Aves|Tinamiformes|Tinamidae|Rhynchotus"/>
    <s v="Animalia"/>
    <s v="Chordata"/>
    <s v="Aves"/>
    <s v="Tinamiformes"/>
    <s v="Tinamidae"/>
    <x v="37"/>
    <s v="rufescens"/>
    <s v="Species"/>
    <s v="Red-winged tinamou"/>
    <m/>
    <s v="ICZN"/>
    <m/>
    <m/>
    <s v="WGS84"/>
    <m/>
    <m/>
    <m/>
    <d v="2026-02-01T00:00:00"/>
    <s v="MaNIS georeferencing guidelines"/>
    <s v="Google Maps"/>
    <s v="verified by contributor"/>
    <s v="CentralAmerica | Central America"/>
    <m/>
    <m/>
    <x v="8"/>
    <s v=""/>
    <x v="2"/>
    <s v="Central America"/>
    <s v="PreservedSpecimen"/>
    <s v="ITA/ING"/>
    <s v="MZUR"/>
    <s v="ORN2025"/>
    <m/>
    <s v="Unknown"/>
    <s v="MZURORN2025-059"/>
    <n v="1"/>
    <n v="1"/>
    <s v="individuals"/>
    <s v="field collection"/>
    <s v="mounted specimen"/>
    <s v="Adult"/>
    <m/>
    <s v="DSC_0702.JPG"/>
    <s v="DSC_0701.JPG"/>
  </r>
  <r>
    <s v="MZURORN2025-060"/>
    <s v="PreservedSpecimen"/>
    <s v="n.a."/>
    <s v=""/>
    <s v=""/>
    <x v="4"/>
    <s v=""/>
    <s v=""/>
    <s v="n.a."/>
    <s v="Gray, 1830"/>
    <x v="43"/>
    <s v="Animalia|Chordata|Aves|Galliformes|Phasianidae|Alectoris"/>
    <s v="Animalia"/>
    <s v="Chordata"/>
    <s v="Aves"/>
    <s v="Galliformes"/>
    <s v="Phasianidae"/>
    <x v="38"/>
    <s v="chukar"/>
    <s v="Species"/>
    <s v="Chukar partridge"/>
    <m/>
    <s v="ICZN"/>
    <m/>
    <m/>
    <s v="WGS84"/>
    <m/>
    <m/>
    <m/>
    <d v="2026-02-01T00:00:00"/>
    <s v="MaNIS georeferencing guidelines"/>
    <s v="Google Maps"/>
    <s v="verified by contributor"/>
    <s v="n.a."/>
    <m/>
    <m/>
    <x v="1"/>
    <s v=""/>
    <x v="2"/>
    <s v="n.a."/>
    <s v="PreservedSpecimen"/>
    <s v="ITA/ING"/>
    <s v="MZUR"/>
    <s v="ORN2025"/>
    <m/>
    <s v="Unknown"/>
    <s v="MZURORN2025-060"/>
    <n v="1"/>
    <n v="1"/>
    <s v="individuals"/>
    <s v="field collection"/>
    <s v="mounted specimen"/>
    <s v="Adult"/>
    <m/>
    <s v="DSC_0704.JPG"/>
    <s v="DSC_0703.JPG"/>
  </r>
  <r>
    <s v="MZURORN2025-061"/>
    <s v="PreservedSpecimen"/>
    <n v="1893"/>
    <n v="66"/>
    <n v="66"/>
    <x v="23"/>
    <n v="3"/>
    <n v="7"/>
    <d v="1905-03-07T00:00:00"/>
    <s v="Linnaeus, 1758"/>
    <x v="44"/>
    <s v="Animalia|Chordata|Aves|Anseriformes|Anatidae|Mergus"/>
    <s v="Animalia"/>
    <s v="Chordata"/>
    <s v="Aves"/>
    <s v="Anseriformes"/>
    <s v="Anatidae"/>
    <x v="39"/>
    <s v="serrator"/>
    <s v="Species"/>
    <s v="Red-breasted merganser"/>
    <m/>
    <s v="ICZN"/>
    <m/>
    <m/>
    <s v="WGS84"/>
    <m/>
    <m/>
    <m/>
    <d v="2026-02-01T00:00:00"/>
    <s v="MaNIS georeferencing guidelines"/>
    <s v="Google Maps"/>
    <s v="verified by contributor"/>
    <s v="Europa | Italy | Lazio | Maccarese"/>
    <s v="Europa"/>
    <m/>
    <x v="0"/>
    <s v="ITA"/>
    <x v="0"/>
    <s v="Maccarese"/>
    <s v="PreservedSpecimen"/>
    <s v="ITA/ING"/>
    <s v="MZUR"/>
    <s v="ORN2025"/>
    <m/>
    <s v="Male"/>
    <s v="MZURORN2025-061"/>
    <n v="1"/>
    <n v="1"/>
    <s v="individuals"/>
    <s v="field collection"/>
    <s v="mounted specimen"/>
    <s v="Adult"/>
    <m/>
    <s v="DSC_0706.JPG"/>
    <s v="DSC_0705.JPG"/>
  </r>
  <r>
    <s v="MZURORN2025-062"/>
    <s v="PreservedSpecimen"/>
    <d v="1961-11-07T00:00:00"/>
    <n v="311"/>
    <n v="311"/>
    <x v="15"/>
    <n v="11"/>
    <n v="7"/>
    <d v="1961-11-07T00:00:00"/>
    <s v="Linnaeus, 1758"/>
    <x v="45"/>
    <s v="Animalia|Chordata|Aves|Anseriformes|Anatidae|Mergellus"/>
    <s v="Animalia"/>
    <s v="Chordata"/>
    <s v="Aves"/>
    <s v="Anseriformes"/>
    <s v="Anatidae"/>
    <x v="40"/>
    <s v="albellus"/>
    <s v="Species"/>
    <s v="Smew"/>
    <m/>
    <s v="ICZN"/>
    <m/>
    <m/>
    <s v="WGS84"/>
    <m/>
    <m/>
    <m/>
    <d v="2026-02-01T00:00:00"/>
    <s v="MaNIS georeferencing guidelines"/>
    <s v="Google Maps"/>
    <s v="verified by contributor"/>
    <s v="Europa | Italy | Veneto | Valle Morosina"/>
    <s v="Europa"/>
    <m/>
    <x v="0"/>
    <s v="ITA"/>
    <x v="3"/>
    <s v="Valle Morosina"/>
    <s v="PreservedSpecimen"/>
    <s v="ITA/ING"/>
    <s v="MZUR"/>
    <s v="ORN2025"/>
    <m/>
    <s v="Female"/>
    <s v="MZURORN2025-062"/>
    <n v="1"/>
    <n v="1"/>
    <s v="individuals"/>
    <s v="field collection"/>
    <s v="mounted specimen"/>
    <s v="Adult"/>
    <m/>
    <s v="DSC_0708.JPG"/>
    <s v="DSC_0707.JPG"/>
  </r>
  <r>
    <s v="MZURORN2025-063"/>
    <s v="PreservedSpecimen"/>
    <d v="1958-03-15T00:00:00"/>
    <n v="74"/>
    <n v="74"/>
    <x v="19"/>
    <n v="3"/>
    <n v="15"/>
    <d v="1958-03-15T00:00:00"/>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Europa | Italy | Piedmont | Casale Monferrato"/>
    <s v="Europa"/>
    <m/>
    <x v="0"/>
    <s v="ITA"/>
    <x v="1"/>
    <s v="Casale Monferrato"/>
    <s v="PreservedSpecimen"/>
    <s v="ITA/ING"/>
    <s v="MZUR"/>
    <s v="ORN2025"/>
    <m/>
    <s v="Female"/>
    <s v="MZURORN2025-063"/>
    <n v="1"/>
    <n v="1"/>
    <s v="individuals"/>
    <s v="field collection"/>
    <s v="mounted specimen"/>
    <s v="Adult"/>
    <m/>
    <s v="DSC_0710.JPG"/>
    <s v="DSC_0709.JPG"/>
  </r>
  <r>
    <s v="MZURORN2025-064"/>
    <s v="PreservedSpecimen"/>
    <d v="1961-01-17T00:00:00"/>
    <n v="17"/>
    <n v="17"/>
    <x v="15"/>
    <n v="1"/>
    <n v="17"/>
    <d v="1961-01-17T00:00:00"/>
    <s v="Guldenstadt, 1770"/>
    <x v="46"/>
    <s v="Animalia|Chordata|Aves|Anseriformes|Anatidae|Aythya"/>
    <s v="Animalia"/>
    <s v="Chordata"/>
    <s v="Aves"/>
    <s v="Anseriformes"/>
    <s v="Anatidae"/>
    <x v="33"/>
    <s v="nyroca"/>
    <s v="Species"/>
    <s v="Ferruginous duck"/>
    <m/>
    <s v="ICZN"/>
    <m/>
    <m/>
    <s v="WGS84"/>
    <m/>
    <m/>
    <m/>
    <d v="2026-02-01T00:00:00"/>
    <s v="MaNIS georeferencing guidelines"/>
    <s v="Google Maps"/>
    <s v="verified by contributor"/>
    <s v="Europa | Italy | Veneto | Valle Millecampi"/>
    <s v="Europa"/>
    <m/>
    <x v="0"/>
    <s v="ITA"/>
    <x v="3"/>
    <s v="Valle Millecampi"/>
    <s v="PreservedSpecimen"/>
    <s v="ITA/ING"/>
    <s v="MZUR"/>
    <s v="ORN2025"/>
    <m/>
    <s v="Female"/>
    <s v="MZURORN2025-064"/>
    <n v="1"/>
    <n v="1"/>
    <s v="individuals"/>
    <s v="field collection"/>
    <s v="mounted specimen"/>
    <s v="Adult"/>
    <m/>
    <s v="DSC_0712.JPG"/>
    <s v="DSC_0711.JPG"/>
  </r>
  <r>
    <s v="MZURORN2025-065"/>
    <s v="PreservedSpecimen"/>
    <s v="28/01/1890"/>
    <s v=""/>
    <s v=""/>
    <x v="4"/>
    <s v=""/>
    <s v=""/>
    <s v="28/01/1890"/>
    <s v="Pallas, 1773"/>
    <x v="47"/>
    <s v="Animalia|Chordata|Aves|Anseriformes|Anatidae|Netta"/>
    <s v="Animalia"/>
    <s v="Chordata"/>
    <s v="Aves"/>
    <s v="Anseriformes"/>
    <s v="Anatidae"/>
    <x v="41"/>
    <s v="rufina"/>
    <s v="Species"/>
    <s v="Red-crested pochard"/>
    <m/>
    <s v="ICZN"/>
    <m/>
    <m/>
    <s v="WGS84"/>
    <m/>
    <m/>
    <m/>
    <d v="2026-02-01T00:00:00"/>
    <s v="MaNIS georeferencing guidelines"/>
    <s v="Google Maps"/>
    <s v="verified by contributor"/>
    <s v="Europa | Italy | Lazio | Rome"/>
    <s v="Europa"/>
    <m/>
    <x v="0"/>
    <s v="ITA"/>
    <x v="0"/>
    <s v="Rome"/>
    <s v="PreservedSpecimen"/>
    <s v="ITA/ING"/>
    <s v="MZUR"/>
    <s v="ORN2025"/>
    <m/>
    <s v="Female"/>
    <s v="MZURORN2025-065"/>
    <n v="1"/>
    <n v="1"/>
    <s v="individuals"/>
    <s v="field collection"/>
    <s v="mounted specimen"/>
    <s v="Adult"/>
    <m/>
    <s v="DSC_0714.JPG"/>
    <s v="DSC_0713.JPG"/>
  </r>
  <r>
    <s v="MZURORN2025-066"/>
    <s v="PreservedSpecimen"/>
    <n v="1888"/>
    <n v="61"/>
    <n v="61"/>
    <x v="20"/>
    <n v="3"/>
    <n v="2"/>
    <d v="1905-03-02T00:00:00"/>
    <s v="Spatula clypeata"/>
    <x v="37"/>
    <s v="Animalia|Chordata|Aves|Anseriformes|Anatidae|Spatula"/>
    <s v="Animalia"/>
    <s v="Chordata"/>
    <s v="Aves"/>
    <s v="Anseriformes"/>
    <s v="Anatidae"/>
    <x v="35"/>
    <s v="clypeata"/>
    <s v="Species"/>
    <s v="Northern shoveler"/>
    <m/>
    <s v="ICZN"/>
    <m/>
    <m/>
    <s v="WGS84"/>
    <m/>
    <m/>
    <m/>
    <d v="2026-02-01T00:00:00"/>
    <s v="MaNIS georeferencing guidelines"/>
    <s v="Google Maps"/>
    <s v="verified by contributor"/>
    <s v="Europa | Italy | Lazio | Pontine Marshes"/>
    <s v="Europa"/>
    <m/>
    <x v="0"/>
    <s v="ITA"/>
    <x v="0"/>
    <s v="Pontine Marshes"/>
    <s v="PreservedSpecimen"/>
    <s v="ITA/ING"/>
    <s v="MZUR"/>
    <s v="ORN2025"/>
    <m/>
    <s v="Male"/>
    <s v="MZURORN2025-066"/>
    <n v="1"/>
    <n v="1"/>
    <s v="individuals"/>
    <s v="field collection"/>
    <s v="mounted specimen"/>
    <s v="Adult"/>
    <m/>
    <s v="DSC_0716.JPG"/>
    <s v="DSC_0715.JPG"/>
  </r>
  <r>
    <s v="MZURORN2025-067"/>
    <s v="PreservedSpecimen"/>
    <s v="03/12/1895"/>
    <s v=""/>
    <s v=""/>
    <x v="4"/>
    <s v=""/>
    <s v=""/>
    <s v="03/12/1895"/>
    <s v="Spatula clypeata"/>
    <x v="37"/>
    <s v="Animalia|Chordata|Aves|Anseriformes|Anatidae|Spatula"/>
    <s v="Animalia"/>
    <s v="Chordata"/>
    <s v="Aves"/>
    <s v="Anseriformes"/>
    <s v="Anatidae"/>
    <x v="35"/>
    <s v="clypeata"/>
    <s v="Species"/>
    <s v="Northern shoveler"/>
    <m/>
    <s v="ICZN"/>
    <m/>
    <m/>
    <s v="WGS84"/>
    <m/>
    <m/>
    <m/>
    <d v="2026-02-01T00:00:00"/>
    <s v="MaNIS georeferencing guidelines"/>
    <s v="Google Maps"/>
    <s v="verified by contributor"/>
    <s v="Europa | Italy | Lazio | Maccarese"/>
    <s v="Europa"/>
    <m/>
    <x v="0"/>
    <s v="ITA"/>
    <x v="0"/>
    <s v="Maccarese"/>
    <s v="PreservedSpecimen"/>
    <s v="ITA/ING"/>
    <s v="MZUR"/>
    <s v="ORN2025"/>
    <m/>
    <s v="Female"/>
    <s v="MZURORN2025-067"/>
    <n v="1"/>
    <n v="1"/>
    <s v="individuals"/>
    <s v="field collection"/>
    <s v="mounted specimen"/>
    <s v="Adult"/>
    <m/>
    <s v="DSC_0718.JPG"/>
    <s v="DSC_0717.JPG"/>
  </r>
  <r>
    <s v="MZURORN2025-068"/>
    <s v="PreservedSpecimen"/>
    <d v="1958-10-09T00:00:00"/>
    <n v="282"/>
    <n v="282"/>
    <x v="19"/>
    <n v="10"/>
    <n v="9"/>
    <d v="1958-10-09T00:00:00"/>
    <s v="Linnaeus, 1758"/>
    <x v="36"/>
    <s v="Animalia|Chordata|Aves|Anseriformes|Anatidae|Spatula"/>
    <s v="Animalia"/>
    <s v="Chordata"/>
    <s v="Aves"/>
    <s v="Anseriformes"/>
    <s v="Anatidae"/>
    <x v="35"/>
    <s v="querquedula"/>
    <s v="Species"/>
    <s v="Garganey"/>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68"/>
    <n v="1"/>
    <n v="1"/>
    <s v="individuals"/>
    <s v="field collection"/>
    <s v="mounted specimen"/>
    <s v="Adult"/>
    <m/>
    <s v="DSC_0720.JPG"/>
    <s v="DSC_0719.JPG"/>
  </r>
  <r>
    <s v="MZURORN2025-069"/>
    <s v="PreservedSpecimen"/>
    <d v="1961-11-07T00:00:00"/>
    <n v="311"/>
    <n v="311"/>
    <x v="15"/>
    <n v="11"/>
    <n v="7"/>
    <d v="1961-11-07T00:00:00"/>
    <s v="Linnaeus, 1758"/>
    <x v="40"/>
    <s v="Animalia|Chordata|Aves|Anseriformes|Anatidae|Anas"/>
    <s v="Animalia"/>
    <s v="Chordata"/>
    <s v="Aves"/>
    <s v="Anseriformes"/>
    <s v="Anatidae"/>
    <x v="34"/>
    <s v="acuta"/>
    <s v="Species"/>
    <s v="Northern pintail"/>
    <m/>
    <s v="ICZN"/>
    <m/>
    <m/>
    <s v="WGS84"/>
    <m/>
    <m/>
    <m/>
    <d v="2026-02-01T00:00:00"/>
    <s v="MaNIS georeferencing guidelines"/>
    <s v="Google Maps"/>
    <s v="verified by contributor"/>
    <s v="Europa | Italy | Veneto | Valle Morosina"/>
    <s v="Europa"/>
    <m/>
    <x v="0"/>
    <s v="ITA"/>
    <x v="3"/>
    <s v="Valle Morosina"/>
    <s v="PreservedSpecimen"/>
    <s v="ITA/ING"/>
    <s v="MZUR"/>
    <s v="ORN2025"/>
    <m/>
    <s v="Male"/>
    <s v="MZURORN2025-069"/>
    <n v="1"/>
    <n v="1"/>
    <s v="individuals"/>
    <s v="field collection"/>
    <s v="mounted specimen"/>
    <s v="Adult"/>
    <m/>
    <s v="DSC_0722.JPG"/>
    <s v="DSC_0721.JPG"/>
  </r>
  <r>
    <s v="MZURORN2025-070"/>
    <s v="PreservedSpecimen"/>
    <d v="1956-10-16T00:00:00"/>
    <n v="290"/>
    <n v="290"/>
    <x v="14"/>
    <n v="10"/>
    <n v="16"/>
    <d v="1956-10-16T00:00:00"/>
    <s v="Pallas, 1764"/>
    <x v="48"/>
    <s v="Animalia|Chordata|Aves|Podicipediformes|Podicipedidae|Tachybaptus"/>
    <s v="Animalia"/>
    <s v="Chordata"/>
    <s v="Aves"/>
    <s v="Podicipediformes"/>
    <s v="Podicipedidae"/>
    <x v="42"/>
    <s v="ruficollis"/>
    <s v="Species"/>
    <s v="Little grebe"/>
    <m/>
    <s v="ICZN"/>
    <m/>
    <m/>
    <s v="WGS84"/>
    <m/>
    <m/>
    <m/>
    <d v="2026-02-01T00:00:00"/>
    <s v="MaNIS georeferencing guidelines"/>
    <s v="Google Maps"/>
    <s v="verified by contributor"/>
    <s v="Europa | Italy | Veneto | Valle Millecampi"/>
    <s v="Europa"/>
    <m/>
    <x v="0"/>
    <s v="ITA"/>
    <x v="3"/>
    <s v="Valle Millecampi"/>
    <s v="PreservedSpecimen"/>
    <s v="ITA/ING"/>
    <s v="MZUR"/>
    <s v="ORN2025"/>
    <m/>
    <s v="Female"/>
    <s v="MZURORN2025-070"/>
    <n v="1"/>
    <n v="1"/>
    <s v="individuals"/>
    <s v="field collection"/>
    <s v="mounted specimen"/>
    <s v="Adult"/>
    <m/>
    <s v="DSC_0724.JPG"/>
    <s v="DSC_0723.JPG"/>
  </r>
  <r>
    <s v="MZURORN2025-071"/>
    <s v="PreservedSpecimen"/>
    <n v="1888"/>
    <n v="61"/>
    <n v="61"/>
    <x v="20"/>
    <n v="3"/>
    <n v="2"/>
    <d v="1905-03-02T00:00:00"/>
    <s v="Pontoppidan, 1763"/>
    <x v="49"/>
    <s v="Animalia|Chordata|Aves|Gaviiformes|Gaviidae|Gavia"/>
    <s v="Animalia"/>
    <s v="Chordata"/>
    <s v="Aves"/>
    <s v="Gaviiformes"/>
    <s v="Gaviidae"/>
    <x v="43"/>
    <s v="stellata"/>
    <s v="Species"/>
    <s v="Red-throated loon"/>
    <m/>
    <s v="ICZN"/>
    <m/>
    <m/>
    <s v="WGS84"/>
    <m/>
    <m/>
    <m/>
    <d v="2026-02-01T00:00:00"/>
    <s v="MaNIS georeferencing guidelines"/>
    <s v="Google Maps"/>
    <s v="verified by contributor"/>
    <s v="Europa | Italy | Lazio | Rome"/>
    <s v="Europa"/>
    <m/>
    <x v="0"/>
    <s v="ITA"/>
    <x v="0"/>
    <s v="Rome"/>
    <s v="PreservedSpecimen"/>
    <s v="ITA/ING"/>
    <s v="MZUR"/>
    <s v="ORN2025"/>
    <m/>
    <s v="Unknown"/>
    <s v="MZURORN2025-071"/>
    <n v="1"/>
    <n v="1"/>
    <s v="individuals"/>
    <s v="field collection"/>
    <s v="mounted specimen"/>
    <s v="Adult"/>
    <m/>
    <s v="DSC_0726.JPG"/>
    <s v="DSC_0725.JPG"/>
  </r>
  <r>
    <s v="MZURORN2025-072"/>
    <s v="PreservedSpecimen"/>
    <n v="1875"/>
    <n v="48"/>
    <n v="48"/>
    <x v="18"/>
    <n v="2"/>
    <n v="17"/>
    <d v="1905-02-17T00:00:00"/>
    <s v="Brehm, 1831"/>
    <x v="50"/>
    <s v="Animalia|Chordata|Aves|Podicipediformes|Podicipedidae|Podiceps"/>
    <s v="Animalia"/>
    <s v="Chordata"/>
    <s v="Aves"/>
    <s v="Podicipediformes"/>
    <s v="Podicipedidae"/>
    <x v="25"/>
    <s v="nigricollis"/>
    <s v="Species"/>
    <s v="Black-necked grebe"/>
    <m/>
    <s v="ICZN"/>
    <m/>
    <m/>
    <s v="WGS84"/>
    <m/>
    <m/>
    <m/>
    <d v="2026-02-01T00:00:00"/>
    <s v="MaNIS georeferencing guidelines"/>
    <s v="Google Maps"/>
    <s v="verified by contributor"/>
    <s v="Europa | Italy | Lazio | Rome"/>
    <s v="Europa"/>
    <m/>
    <x v="0"/>
    <s v="ITA"/>
    <x v="0"/>
    <s v="Rome"/>
    <s v="PreservedSpecimen"/>
    <s v="ITA/ING"/>
    <s v="MZUR"/>
    <s v="ORN2025"/>
    <m/>
    <s v="Unknown"/>
    <s v="MZURORN2025-072"/>
    <n v="1"/>
    <n v="1"/>
    <s v="individuals"/>
    <s v="field collection"/>
    <s v="mounted specimen"/>
    <s v="Adult"/>
    <m/>
    <s v="DSC_0728.JPG"/>
    <s v="DSC_0727.JPG"/>
  </r>
  <r>
    <s v="MZURORN2025-073"/>
    <s v="PreservedSpecimen"/>
    <n v="1875"/>
    <n v="48"/>
    <n v="48"/>
    <x v="18"/>
    <n v="2"/>
    <n v="17"/>
    <d v="1905-02-17T00:00:00"/>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Europa | Italy | Lazio | Rome"/>
    <s v="Europa"/>
    <m/>
    <x v="0"/>
    <s v="ITA"/>
    <x v="0"/>
    <s v="Rome"/>
    <s v="PreservedSpecimen"/>
    <s v="ITA/ING"/>
    <s v="MZUR"/>
    <s v="ORN2025"/>
    <m/>
    <s v="Unknown"/>
    <s v="MZURORN2025-073"/>
    <n v="1"/>
    <n v="1"/>
    <s v="individuals"/>
    <s v="field collection"/>
    <s v="mounted specimen"/>
    <s v="Adult"/>
    <m/>
    <s v="DSC_0730.JPG"/>
    <s v="DSC_0729.JPG"/>
  </r>
  <r>
    <s v="MZURORN2025-074"/>
    <s v="PreservedSpecimen"/>
    <n v="1895"/>
    <n v="68"/>
    <n v="68"/>
    <x v="24"/>
    <n v="3"/>
    <n v="9"/>
    <d v="1905-03-09T00:00:00"/>
    <s v="Linnaeus, 1758"/>
    <x v="44"/>
    <s v="Animalia|Chordata|Aves|Anseriformes|Anatidae|Mergus"/>
    <s v="Animalia"/>
    <s v="Chordata"/>
    <s v="Aves"/>
    <s v="Anseriformes"/>
    <s v="Anatidae"/>
    <x v="39"/>
    <s v="serrator"/>
    <s v="Species"/>
    <s v="Red-breasted merganser"/>
    <m/>
    <s v="ICZN"/>
    <m/>
    <m/>
    <s v="WGS84"/>
    <m/>
    <m/>
    <m/>
    <d v="2026-02-01T00:00:00"/>
    <s v="MaNIS georeferencing guidelines"/>
    <s v="Google Maps"/>
    <s v="verified by contributor"/>
    <s v="Europa | Italy | Lazio | Maccarese"/>
    <s v="Europa"/>
    <m/>
    <x v="0"/>
    <s v="ITA"/>
    <x v="0"/>
    <s v="Maccarese"/>
    <s v="PreservedSpecimen"/>
    <s v="ITA/ING"/>
    <s v="MZUR"/>
    <s v="ORN2025"/>
    <m/>
    <s v="Female"/>
    <s v="MZURORN2025-074"/>
    <n v="1"/>
    <n v="1"/>
    <s v="individuals"/>
    <s v="field collection"/>
    <s v="mounted specimen"/>
    <s v="Adult"/>
    <m/>
    <s v="DSC_0732.JPG"/>
    <s v="DSC_0731.JPG"/>
  </r>
  <r>
    <s v="MZURORN2025-075"/>
    <s v="PreservedSpecimen"/>
    <s v="n.a."/>
    <s v=""/>
    <s v=""/>
    <x v="4"/>
    <s v=""/>
    <s v=""/>
    <s v="n.a."/>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Lazio | Saline di Tarquinia"/>
    <s v="Europa"/>
    <m/>
    <x v="0"/>
    <s v="ITA"/>
    <x v="0"/>
    <s v="Saline di Tarquinia"/>
    <s v="PreservedSpecimen"/>
    <s v="ITA/ING"/>
    <s v="MZUR"/>
    <s v="ORN2025"/>
    <m/>
    <s v="Female"/>
    <s v="MZURORN2025-075"/>
    <n v="1"/>
    <n v="1"/>
    <s v="individuals"/>
    <s v="field collection"/>
    <s v="mounted specimen"/>
    <s v="Adult"/>
    <m/>
    <s v="DSC_0734.JPG"/>
    <s v="DSC_0733.JPG"/>
  </r>
  <r>
    <s v="MZURORN2025-076"/>
    <s v="PreservedSpecimen"/>
    <s v="n.a."/>
    <s v=""/>
    <s v=""/>
    <x v="4"/>
    <s v=""/>
    <s v=""/>
    <s v="n.a."/>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Lazio | Saline di Tarquinia"/>
    <s v="Europa"/>
    <m/>
    <x v="0"/>
    <s v="ITA"/>
    <x v="0"/>
    <s v="Saline di Tarquinia"/>
    <s v="PreservedSpecimen"/>
    <s v="ITA/ING"/>
    <s v="MZUR"/>
    <s v="ORN2025"/>
    <m/>
    <s v="Male"/>
    <s v="MZURORN2025-076"/>
    <n v="1"/>
    <n v="1"/>
    <s v="individuals"/>
    <s v="field collection"/>
    <s v="mounted specimen"/>
    <s v="Adult"/>
    <m/>
    <s v="DSC_0737.JPG"/>
    <s v="DSC_0736.JPG"/>
  </r>
  <r>
    <s v="MZURORN2025-077"/>
    <s v="PreservedSpecimen"/>
    <d v="1958-03-15T00:00:00"/>
    <n v="74"/>
    <n v="74"/>
    <x v="19"/>
    <n v="3"/>
    <n v="15"/>
    <d v="1958-03-15T00:00:00"/>
    <s v="Linnaeus, 1758"/>
    <x v="36"/>
    <s v="Animalia|Chordata|Aves|Anseriformes|Anatidae|Spatula"/>
    <s v="Animalia"/>
    <s v="Chordata"/>
    <s v="Aves"/>
    <s v="Anseriformes"/>
    <s v="Anatidae"/>
    <x v="35"/>
    <s v="querquedula"/>
    <s v="Species"/>
    <s v="Garganey"/>
    <m/>
    <s v="ICZN"/>
    <m/>
    <m/>
    <s v="WGS84"/>
    <m/>
    <m/>
    <m/>
    <d v="2026-02-01T00:00:00"/>
    <s v="MaNIS georeferencing guidelines"/>
    <s v="Google Maps"/>
    <s v="verified by contributor"/>
    <s v="Europa | Italy | Piedmont | Casale Monferrato"/>
    <s v="Europa"/>
    <m/>
    <x v="0"/>
    <s v="ITA"/>
    <x v="1"/>
    <s v="Casale Monferrato"/>
    <s v="PreservedSpecimen"/>
    <s v="ITA/ING"/>
    <s v="MZUR"/>
    <s v="ORN2025"/>
    <m/>
    <s v="Male"/>
    <s v="MZURORN2025-077"/>
    <n v="1"/>
    <n v="1"/>
    <s v="individuals"/>
    <s v="field collection"/>
    <s v="mounted specimen"/>
    <s v="Adult"/>
    <m/>
    <s v="DSC_0739.JPG"/>
    <s v="DSC_0738.JPG"/>
  </r>
  <r>
    <s v="MZURORN2025-078"/>
    <s v="PreservedSpecimen"/>
    <d v="1958-11-10T00:00:00"/>
    <n v="314"/>
    <n v="314"/>
    <x v="19"/>
    <n v="11"/>
    <n v="10"/>
    <d v="1958-11-10T00:00:00"/>
    <s v="Linnaeus, 1758"/>
    <x v="35"/>
    <s v="Animalia|Chordata|Aves|Anseriformes|Anatidae|Anas"/>
    <s v="Animalia"/>
    <s v="Chordata"/>
    <s v="Aves"/>
    <s v="Anseriformes"/>
    <s v="Anatidae"/>
    <x v="34"/>
    <s v="crecca"/>
    <s v="Species"/>
    <s v="Eurasian tea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78"/>
    <n v="1"/>
    <n v="1"/>
    <s v="individuals"/>
    <s v="field collection"/>
    <s v="mounted specimen"/>
    <s v="Adult"/>
    <m/>
    <s v="DSC_0741.JPG"/>
    <s v="DSC_0740.JPG"/>
  </r>
  <r>
    <s v="MZURORN2025-079"/>
    <s v="PreservedSpecimen"/>
    <s v="n.a."/>
    <s v=""/>
    <s v=""/>
    <x v="4"/>
    <s v=""/>
    <s v=""/>
    <s v="n.a."/>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n.a."/>
    <m/>
    <m/>
    <x v="1"/>
    <s v=""/>
    <x v="2"/>
    <s v="n.a."/>
    <s v="PreservedSpecimen"/>
    <s v="ITA/ING"/>
    <s v="MZUR"/>
    <s v="ORN2025"/>
    <m/>
    <s v="Unknown"/>
    <s v="MZURORN2025-079"/>
    <n v="1"/>
    <n v="1"/>
    <s v="individuals"/>
    <s v="field collection"/>
    <s v="mounted specimen"/>
    <s v="Adult"/>
    <m/>
    <s v="DSC_0743.JPG"/>
    <s v="DSC_0742.JPG"/>
  </r>
  <r>
    <s v="MZURORN2025-080"/>
    <s v="PreservedSpecimen"/>
    <s v="n.a."/>
    <s v=""/>
    <s v=""/>
    <x v="4"/>
    <s v=""/>
    <s v=""/>
    <s v="n.a."/>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n.a."/>
    <m/>
    <m/>
    <x v="1"/>
    <s v=""/>
    <x v="2"/>
    <s v="n.a."/>
    <s v="PreservedSpecimen"/>
    <s v="ITA/ING"/>
    <s v="MZUR"/>
    <s v="ORN2025"/>
    <m/>
    <s v="Unknown"/>
    <s v="MZURORN2025-080"/>
    <n v="1"/>
    <n v="1"/>
    <s v="individuals"/>
    <s v="field collection"/>
    <s v="mounted specimen"/>
    <s v="Adult"/>
    <m/>
    <s v="DSC_0745.JPG"/>
    <s v="DSC_0744.JPG"/>
  </r>
  <r>
    <s v="MZURORN2025-081"/>
    <s v="PreservedSpecimen"/>
    <n v="1875"/>
    <n v="48"/>
    <n v="48"/>
    <x v="18"/>
    <n v="2"/>
    <n v="17"/>
    <d v="1905-02-17T00:00:00"/>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Europa | Italy | Lazio | Rome"/>
    <s v="Europa"/>
    <m/>
    <x v="0"/>
    <s v="ITA"/>
    <x v="0"/>
    <s v="Rome"/>
    <s v="PreservedSpecimen"/>
    <s v="ITA/ING"/>
    <s v="MZUR"/>
    <s v="ORN2025"/>
    <m/>
    <s v="Male"/>
    <s v="MZURORN2025-081"/>
    <n v="1"/>
    <n v="1"/>
    <s v="individuals"/>
    <s v="field collection"/>
    <s v="mounted specimen"/>
    <s v="Adult"/>
    <m/>
    <s v="DSC_0747.JPG"/>
    <s v="DSC_0746.JPG"/>
  </r>
  <r>
    <s v="MZURORN2025-082"/>
    <s v="PreservedSpecimen"/>
    <d v="1948-03-10T00:00:00"/>
    <n v="70"/>
    <n v="70"/>
    <x v="25"/>
    <n v="3"/>
    <n v="10"/>
    <d v="1948-03-10T00:00:00"/>
    <s v="Linnaeus, 1758"/>
    <x v="27"/>
    <s v="Animalia|Chordata|Aves|Pelecaniformes|Ardeidae|Nycticorax"/>
    <s v="Animalia"/>
    <s v="Chordata"/>
    <s v="Aves"/>
    <s v="Pelecaniformes"/>
    <s v="Ardeidae"/>
    <x v="26"/>
    <s v="nycticorax"/>
    <s v="Species"/>
    <s v="Black-crowned night heron"/>
    <m/>
    <s v="ICZN"/>
    <m/>
    <m/>
    <s v="WGS84"/>
    <m/>
    <m/>
    <m/>
    <d v="2026-02-01T00:00:00"/>
    <s v="MaNIS georeferencing guidelines"/>
    <s v="Google Maps"/>
    <s v="verified by contributor"/>
    <s v="Europa | Italy | Veneto | Padua"/>
    <s v="Europa"/>
    <m/>
    <x v="0"/>
    <s v="ITA"/>
    <x v="3"/>
    <s v="Padua"/>
    <s v="PreservedSpecimen"/>
    <s v="ITA/ING"/>
    <s v="MZUR"/>
    <s v="ORN2025"/>
    <m/>
    <s v="Male"/>
    <s v="MZURORN2025-082"/>
    <n v="1"/>
    <n v="1"/>
    <s v="individuals"/>
    <s v="field collection"/>
    <s v="mounted specimen"/>
    <s v="Adult"/>
    <m/>
    <s v="DSC_0750.JPG"/>
    <s v="DSC_0749.JPG"/>
  </r>
  <r>
    <s v="MZURORN2025-083"/>
    <s v="PreservedSpecimen"/>
    <d v="1958-10-08T00:00:00"/>
    <n v="281"/>
    <n v="281"/>
    <x v="19"/>
    <n v="10"/>
    <n v="8"/>
    <d v="1958-10-08T00:00:00"/>
    <s v="Linnaeus, 1766"/>
    <x v="51"/>
    <s v="Animalia|Chordata|Aves|Pelecaniformes|Ardeidae|Egretta"/>
    <s v="Animalia"/>
    <s v="Chordata"/>
    <s v="Aves"/>
    <s v="Pelecaniformes"/>
    <s v="Ardeidae"/>
    <x v="44"/>
    <s v="garzetta"/>
    <s v="Species"/>
    <s v="Little egre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83"/>
    <n v="1"/>
    <n v="1"/>
    <s v="individuals"/>
    <s v="field collection"/>
    <s v="mounted specimen"/>
    <s v="Adult"/>
    <m/>
    <s v="DSC_0752.JPG"/>
    <s v="DSC_0751.JPG"/>
  </r>
  <r>
    <s v="MZURORN2025-084"/>
    <s v="PreservedSpecimen"/>
    <n v="1893"/>
    <n v="66"/>
    <n v="66"/>
    <x v="23"/>
    <n v="3"/>
    <n v="7"/>
    <d v="1905-03-07T00:00:00"/>
    <s v="Linnaeus, 1758"/>
    <x v="52"/>
    <s v="Animalia|Chordata|Aves|Pelecaniformes|Ardeidae|Ardea"/>
    <s v="Animalia"/>
    <s v="Chordata"/>
    <s v="Aves"/>
    <s v="Pelecaniformes"/>
    <s v="Ardeidae"/>
    <x v="27"/>
    <s v="alba"/>
    <s v="Species"/>
    <s v="Great egret"/>
    <m/>
    <s v="ICZN"/>
    <m/>
    <m/>
    <s v="WGS84"/>
    <m/>
    <m/>
    <m/>
    <d v="2026-02-01T00:00:00"/>
    <s v="MaNIS georeferencing guidelines"/>
    <s v="Google Maps"/>
    <s v="verified by contributor"/>
    <s v="n.a."/>
    <m/>
    <m/>
    <x v="1"/>
    <s v=""/>
    <x v="2"/>
    <s v="n.a."/>
    <s v="PreservedSpecimen"/>
    <s v="ITA/ING"/>
    <s v="MZUR"/>
    <s v="ORN2025"/>
    <m/>
    <s v="Unknown"/>
    <s v="MZURORN2025-084"/>
    <n v="1"/>
    <n v="1"/>
    <s v="individuals"/>
    <s v="field collection"/>
    <s v="mounted specimen"/>
    <s v="Adult"/>
    <m/>
    <s v="DSC_0754.JPG"/>
    <s v="DSC_0753.JPG"/>
  </r>
  <r>
    <s v="MZURORN2025-085"/>
    <s v="PreservedSpecimen"/>
    <n v="1959"/>
    <n v="132"/>
    <n v="132"/>
    <x v="2"/>
    <n v="5"/>
    <n v="12"/>
    <d v="1905-05-12T00:00:00"/>
    <s v="Linnaeus, 1758"/>
    <x v="53"/>
    <s v="Animalia|Chordata|Aves|Ciconiiformes|Ardeidae|Botaurus"/>
    <s v="Animalia"/>
    <s v="Chordata"/>
    <s v="Aves"/>
    <s v="Ciconiiformes"/>
    <s v="Ardeidae"/>
    <x v="45"/>
    <s v="stellaris"/>
    <s v="Species"/>
    <s v="Eurasian bittern"/>
    <m/>
    <s v="ICZN"/>
    <m/>
    <m/>
    <s v="WGS84"/>
    <m/>
    <m/>
    <m/>
    <d v="2026-02-01T00:00:00"/>
    <s v="MaNIS georeferencing guidelines"/>
    <s v="Google Maps"/>
    <s v="verified by contributor"/>
    <s v="Europa | Italy | Veneto | Fusina"/>
    <s v="Europa"/>
    <m/>
    <x v="0"/>
    <s v="ITA"/>
    <x v="3"/>
    <s v="Fusina"/>
    <s v="PreservedSpecimen"/>
    <s v="ITA/ING"/>
    <s v="MZUR"/>
    <s v="ORN2025"/>
    <m/>
    <s v="Male"/>
    <s v="MZURORN2025-085"/>
    <n v="1"/>
    <n v="1"/>
    <s v="individuals"/>
    <s v="field collection"/>
    <s v="mounted specimen"/>
    <s v="Adult"/>
    <m/>
    <s v="DSC_0756.JPG"/>
    <s v="DSC_0755.JPG"/>
  </r>
  <r>
    <s v="MZURORN2025-086"/>
    <s v="PreservedSpecimen"/>
    <d v="1959-09-06T00:00:00"/>
    <n v="249"/>
    <n v="249"/>
    <x v="2"/>
    <n v="9"/>
    <n v="6"/>
    <d v="1959-09-06T00:00:00"/>
    <s v="Linnaeus, 1758"/>
    <x v="27"/>
    <s v="Animalia|Chordata|Aves|Pelecaniformes|Ardeidae|Nycticorax"/>
    <s v="Animalia"/>
    <s v="Chordata"/>
    <s v="Aves"/>
    <s v="Pelecaniformes"/>
    <s v="Ardeidae"/>
    <x v="26"/>
    <s v="nycticorax"/>
    <s v="Species"/>
    <s v="Black-crowned night heron"/>
    <m/>
    <s v="ICZN"/>
    <m/>
    <m/>
    <s v="WGS84"/>
    <m/>
    <m/>
    <m/>
    <d v="2026-02-01T00:00:00"/>
    <s v="MaNIS georeferencing guidelines"/>
    <s v="Google Maps"/>
    <s v="verified by contributor"/>
    <s v="Europa | Italy | Piedmont | Roccasparvera"/>
    <s v="Europa"/>
    <m/>
    <x v="0"/>
    <s v="ITA"/>
    <x v="1"/>
    <s v="Roccasparvera"/>
    <s v="PreservedSpecimen"/>
    <s v="ITA/ING"/>
    <s v="MZUR"/>
    <s v="ORN2025"/>
    <m/>
    <s v="Female"/>
    <s v="MZURORN2025-086"/>
    <n v="1"/>
    <n v="1"/>
    <s v="individuals"/>
    <s v="field collection"/>
    <s v="mounted specimen"/>
    <s v="Adult"/>
    <m/>
    <s v="DSC_0758.JPG"/>
    <s v="DSC_0757.JPG"/>
  </r>
  <r>
    <s v="MZURORN2025-087"/>
    <s v="PreservedSpecimen"/>
    <n v="1890"/>
    <n v="63"/>
    <n v="63"/>
    <x v="26"/>
    <n v="3"/>
    <n v="4"/>
    <d v="1905-03-04T00:00:00"/>
    <s v="Pontoppidan, 1763"/>
    <x v="49"/>
    <s v="Animalia|Chordata|Aves|Gaviiformes|Gaviidae|Gavia"/>
    <s v="Animalia"/>
    <s v="Chordata"/>
    <s v="Aves"/>
    <s v="Gaviiformes"/>
    <s v="Gaviidae"/>
    <x v="43"/>
    <s v="stellata"/>
    <s v="Species"/>
    <s v="Red-throated loon"/>
    <m/>
    <s v="ICZN"/>
    <m/>
    <m/>
    <s v="WGS84"/>
    <m/>
    <m/>
    <m/>
    <d v="2026-02-01T00:00:00"/>
    <s v="MaNIS georeferencing guidelines"/>
    <s v="Google Maps"/>
    <s v="verified by contributor"/>
    <s v="Europa | Italy | Lazio | Ostia"/>
    <s v="Europa"/>
    <m/>
    <x v="0"/>
    <s v="ITA"/>
    <x v="0"/>
    <s v="Ostia"/>
    <s v="PreservedSpecimen"/>
    <s v="ITA/ING"/>
    <s v="MZUR"/>
    <s v="ORN2025"/>
    <m/>
    <s v="Unknown"/>
    <s v="MZURORN2025-087"/>
    <n v="1"/>
    <n v="1"/>
    <s v="individuals"/>
    <s v="field collection"/>
    <s v="mounted specimen"/>
    <s v="Adult"/>
    <m/>
    <s v="DSC_0761.JPG"/>
    <s v="DSC_0759.JPG"/>
  </r>
  <r>
    <s v="MZURORN2025-088"/>
    <s v="PreservedSpecimen"/>
    <n v="1901"/>
    <n v="74"/>
    <n v="74"/>
    <x v="27"/>
    <n v="3"/>
    <n v="15"/>
    <d v="1905-03-15T00:00:00"/>
    <s v="Linnaeus, 1766"/>
    <x v="54"/>
    <s v="Animalia|Chordata|Aves|Pelecaniformes|Threskiornithidae|Plegadis"/>
    <s v="Animalia"/>
    <s v="Chordata"/>
    <s v="Aves"/>
    <s v="Pelecaniformes"/>
    <s v="Threskiornithidae"/>
    <x v="46"/>
    <s v="falcinellus"/>
    <s v="Species"/>
    <s v="Glossy ibis"/>
    <m/>
    <s v="ICZN"/>
    <m/>
    <m/>
    <s v="WGS84"/>
    <m/>
    <m/>
    <m/>
    <d v="2026-02-01T00:00:00"/>
    <s v="MaNIS georeferencing guidelines"/>
    <s v="Google Maps"/>
    <s v="verified by contributor"/>
    <s v="Europa | Italy | Lazio | Tivoli"/>
    <s v="Europa"/>
    <m/>
    <x v="0"/>
    <s v="ITA"/>
    <x v="0"/>
    <s v="Tivoli"/>
    <s v="PreservedSpecimen"/>
    <s v="ITA/ING"/>
    <s v="MZUR"/>
    <s v="ORN2025"/>
    <m/>
    <s v="Unknown"/>
    <s v="MZURORN2025-088"/>
    <n v="1"/>
    <n v="1"/>
    <s v="individuals"/>
    <s v="field collection"/>
    <s v="mounted specimen"/>
    <s v="Adult"/>
    <m/>
    <s v="DSC_0763.JPG"/>
    <s v="DSC_0762.JPG"/>
  </r>
  <r>
    <s v="MZURORN2025-089"/>
    <s v="PreservedSpecimen"/>
    <n v="1896"/>
    <n v="69"/>
    <n v="69"/>
    <x v="11"/>
    <n v="3"/>
    <n v="10"/>
    <d v="1905-03-10T00:00:00"/>
    <s v="Linnaeus, 1758"/>
    <x v="55"/>
    <s v="Animalia|Chordata|Aves|Suliformes|Phalacrocoracidae|Phalacrocorax"/>
    <s v="Animalia"/>
    <s v="Chordata"/>
    <s v="Aves"/>
    <s v="Suliformes"/>
    <s v="Phalacrocoracidae"/>
    <x v="47"/>
    <s v="carbo"/>
    <s v="Species"/>
    <s v="Great cormorant"/>
    <m/>
    <s v="ICZN"/>
    <m/>
    <m/>
    <s v="WGS84"/>
    <m/>
    <m/>
    <m/>
    <d v="2026-02-01T00:00:00"/>
    <s v="MaNIS georeferencing guidelines"/>
    <s v="Google Maps"/>
    <s v="verified by contributor"/>
    <s v="Europa | Italy | Lazio | Rome"/>
    <s v="Europa"/>
    <m/>
    <x v="0"/>
    <s v="ITA"/>
    <x v="0"/>
    <s v="Rome"/>
    <s v="PreservedSpecimen"/>
    <s v="ITA/ING"/>
    <s v="MZUR"/>
    <s v="ORN2025"/>
    <m/>
    <s v="Unknown"/>
    <s v="MZURORN2025-089"/>
    <n v="1"/>
    <n v="1"/>
    <s v="individuals"/>
    <s v="field collection"/>
    <s v="mounted specimen"/>
    <s v="Adult"/>
    <m/>
    <s v="DSC_0765.JPG"/>
    <s v="DSC_0764.JPG"/>
  </r>
  <r>
    <s v="MZURORN2025-090"/>
    <s v="PreservedSpecimen"/>
    <s v="n.a."/>
    <s v=""/>
    <s v=""/>
    <x v="4"/>
    <s v=""/>
    <s v=""/>
    <s v="n.a."/>
    <s v="Linnaeus, 1758"/>
    <x v="26"/>
    <s v="Animalia|Chordata|Aves|Podicipediformes|Podicipedidae|Podiceps"/>
    <s v="Animalia"/>
    <s v="Chordata"/>
    <s v="Aves"/>
    <s v="Podicipediformes"/>
    <s v="Podicipedidae"/>
    <x v="25"/>
    <s v="cristatus"/>
    <s v="Species"/>
    <s v="Great crested grebe"/>
    <m/>
    <s v="ICZN"/>
    <m/>
    <m/>
    <s v="WGS84"/>
    <m/>
    <m/>
    <m/>
    <d v="2026-02-01T00:00:00"/>
    <s v="MaNIS georeferencing guidelines"/>
    <s v="Google Maps"/>
    <s v="verified by contributor"/>
    <s v="Europa | Italy | Lazio | Rome"/>
    <s v="Europa"/>
    <m/>
    <x v="0"/>
    <s v="ITA"/>
    <x v="0"/>
    <s v="Rome"/>
    <s v="PreservedSpecimen"/>
    <s v="ITA/ING"/>
    <s v="MZUR"/>
    <s v="ORN2025"/>
    <m/>
    <s v="Male"/>
    <s v="MZURORN2025-090"/>
    <n v="1"/>
    <n v="1"/>
    <s v="individuals"/>
    <s v="field collection"/>
    <s v="mounted specimen"/>
    <s v="Adult"/>
    <m/>
    <s v="DSC_0767.JPG"/>
    <s v="DSC_0766.JPG"/>
  </r>
  <r>
    <s v="MZURORN2025-091"/>
    <s v="PreservedSpecimen"/>
    <n v="1901"/>
    <n v="74"/>
    <n v="74"/>
    <x v="27"/>
    <n v="3"/>
    <n v="15"/>
    <d v="1905-03-15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Lazio | Maccarese"/>
    <s v="Europa"/>
    <m/>
    <x v="0"/>
    <s v="ITA"/>
    <x v="0"/>
    <s v="Maccarese"/>
    <s v="PreservedSpecimen"/>
    <s v="ITA/ING"/>
    <s v="MZUR"/>
    <s v="ORN2025"/>
    <m/>
    <s v="Unknown"/>
    <s v="MZURORN2025-091"/>
    <n v="1"/>
    <n v="1"/>
    <s v="individuals"/>
    <s v="field collection"/>
    <s v="mounted specimen"/>
    <s v="Adult"/>
    <m/>
    <s v="DSC_0769.JPG"/>
    <s v="DSC_0768.JPG"/>
  </r>
  <r>
    <s v="MZURORN2025-092"/>
    <s v="PreservedSpecimen"/>
    <d v="1960-11-10T00:00:00"/>
    <n v="315"/>
    <n v="315"/>
    <x v="1"/>
    <n v="11"/>
    <n v="10"/>
    <d v="1960-11-10T00:00:00"/>
    <s v="Scopoli, 1769"/>
    <x v="56"/>
    <s v="Animalia|Chordata|Aves|Anseriformes|Anatidae|Anser"/>
    <s v="Animalia"/>
    <s v="Chordata"/>
    <s v="Aves"/>
    <s v="Anseriformes"/>
    <s v="Anatidae"/>
    <x v="48"/>
    <s v="albifrons"/>
    <s v="Species"/>
    <s v="Greater white-fronted goose"/>
    <m/>
    <s v="ICZN"/>
    <m/>
    <m/>
    <s v="WGS84"/>
    <m/>
    <m/>
    <m/>
    <d v="2026-02-01T00:00:00"/>
    <s v="MaNIS georeferencing guidelines"/>
    <s v="Google Maps"/>
    <s v="verified by contributor"/>
    <s v="Europa | Italy | Veneto | Valle Morosina"/>
    <s v="Europa"/>
    <m/>
    <x v="0"/>
    <s v="ITA"/>
    <x v="3"/>
    <s v="Valle Morosina"/>
    <s v="PreservedSpecimen"/>
    <s v="ITA/ING"/>
    <s v="MZUR"/>
    <s v="ORN2025"/>
    <m/>
    <s v="Male"/>
    <s v="MZURORN2025-092"/>
    <n v="1"/>
    <n v="1"/>
    <s v="individuals"/>
    <s v="field collection"/>
    <s v="mounted specimen"/>
    <s v="Adult"/>
    <m/>
    <s v="DSC_0771.JPG"/>
    <s v="DSC_0770.JPG"/>
  </r>
  <r>
    <s v="MZURORN2025-093"/>
    <s v="PreservedSpecimen"/>
    <d v="1960-09-29T00:00:00"/>
    <n v="273"/>
    <n v="273"/>
    <x v="1"/>
    <n v="9"/>
    <n v="29"/>
    <d v="1960-09-29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Piedmont | Roccavione"/>
    <s v="Europa"/>
    <m/>
    <x v="0"/>
    <s v="ITA"/>
    <x v="1"/>
    <s v="Roccavione"/>
    <s v="PreservedSpecimen"/>
    <s v="ITA/ING"/>
    <s v="MZUR"/>
    <s v="ORN2025"/>
    <m/>
    <s v="Male"/>
    <s v="MZURORN2025-093"/>
    <n v="1"/>
    <n v="1"/>
    <s v="individuals"/>
    <s v="field collection"/>
    <s v="mounted specimen"/>
    <s v="Adult"/>
    <m/>
    <s v="DSC_0773.JPG"/>
    <s v="DSC_0772.JPG"/>
  </r>
  <r>
    <s v="MZURORN2025-094"/>
    <s v="PreservedSpecimen"/>
    <n v="1973"/>
    <n v="146"/>
    <n v="146"/>
    <x v="28"/>
    <n v="5"/>
    <n v="26"/>
    <d v="1905-05-26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Lazio | Rome"/>
    <s v="Europa"/>
    <m/>
    <x v="0"/>
    <s v="ITA"/>
    <x v="0"/>
    <s v="Rome"/>
    <s v="PreservedSpecimen"/>
    <s v="ITA/ING"/>
    <s v="MZUR"/>
    <s v="ORN2025"/>
    <m/>
    <s v="Unknown"/>
    <s v="MZURORN2025-094"/>
    <n v="1"/>
    <n v="1"/>
    <s v="individuals"/>
    <s v="field collection"/>
    <s v="mounted specimen"/>
    <s v="Adult"/>
    <m/>
    <s v="DSC_0775.JPG"/>
    <s v="DSC_0774.JPG"/>
  </r>
  <r>
    <s v="MZURORN2025-095"/>
    <s v="PreservedSpecimen"/>
    <n v="1888"/>
    <n v="61"/>
    <n v="61"/>
    <x v="20"/>
    <n v="3"/>
    <n v="2"/>
    <d v="1905-03-02T00:00:00"/>
    <s v="Linnaeus, 1758"/>
    <x v="57"/>
    <s v="Animalia|Chordata|Aves|Charadriiformes|Recurvirostridae|Recurvirostra"/>
    <s v="Animalia"/>
    <s v="Chordata"/>
    <s v="Aves"/>
    <s v="Charadriiformes"/>
    <s v="Recurvirostridae"/>
    <x v="49"/>
    <s v="avosetta"/>
    <s v="Species"/>
    <s v="Pied avocet"/>
    <m/>
    <s v="ICZN"/>
    <m/>
    <m/>
    <s v="WGS84"/>
    <m/>
    <m/>
    <m/>
    <d v="2026-02-01T00:00:00"/>
    <s v="MaNIS georeferencing guidelines"/>
    <s v="Google Maps"/>
    <s v="verified by contributor"/>
    <s v="Europa | Italy | Lazio | Maccarese"/>
    <s v="Europa"/>
    <m/>
    <x v="0"/>
    <s v="ITA"/>
    <x v="0"/>
    <s v="Maccarese"/>
    <s v="PreservedSpecimen"/>
    <s v="ITA/ING"/>
    <s v="MZUR"/>
    <s v="ORN2025"/>
    <m/>
    <s v="Unknown"/>
    <s v="MZURORN2025-095"/>
    <n v="1"/>
    <n v="1"/>
    <s v="individuals"/>
    <s v="field collection"/>
    <s v="mounted specimen"/>
    <s v="Adult"/>
    <m/>
    <s v="DSC_0777.JPG"/>
    <s v="DSC_0776.JPG"/>
  </r>
  <r>
    <s v="MZURORN2025-096"/>
    <s v="PreservedSpecimen"/>
    <n v="1896"/>
    <n v="69"/>
    <n v="69"/>
    <x v="11"/>
    <n v="3"/>
    <n v="10"/>
    <d v="1905-03-10T00:00:00"/>
    <s v="Linnaeus, 1758"/>
    <x v="57"/>
    <s v="Animalia|Chordata|Aves|Charadriiformes|Recurvirostridae|Recurvirostra"/>
    <s v="Animalia"/>
    <s v="Chordata"/>
    <s v="Aves"/>
    <s v="Charadriiformes"/>
    <s v="Recurvirostridae"/>
    <x v="49"/>
    <s v="avosetta"/>
    <s v="Species"/>
    <s v="Pied avocet"/>
    <m/>
    <s v="ICZN"/>
    <m/>
    <m/>
    <s v="WGS84"/>
    <m/>
    <m/>
    <m/>
    <d v="2026-02-01T00:00:00"/>
    <s v="MaNIS georeferencing guidelines"/>
    <s v="Google Maps"/>
    <s v="verified by contributor"/>
    <s v="Europa | Italy | Lazio | Fiumicino"/>
    <s v="Europa"/>
    <m/>
    <x v="0"/>
    <s v="ITA"/>
    <x v="0"/>
    <s v="Fiumicino"/>
    <s v="PreservedSpecimen"/>
    <s v="ITA/ING"/>
    <s v="MZUR"/>
    <s v="ORN2025"/>
    <m/>
    <s v="Unknown"/>
    <s v="MZURORN2025-096"/>
    <n v="1"/>
    <n v="1"/>
    <s v="individuals"/>
    <s v="field collection"/>
    <s v="mounted specimen"/>
    <s v="Adult"/>
    <m/>
    <s v="DSC_0779.JPG"/>
    <s v="DSC_0778.JPG"/>
  </r>
  <r>
    <s v="MZURORN2025-097"/>
    <s v="PreservedSpecimen"/>
    <s v="n.a."/>
    <s v=""/>
    <s v=""/>
    <x v="4"/>
    <s v=""/>
    <s v=""/>
    <s v="n.a."/>
    <s v="Linnaeus, 1758"/>
    <x v="58"/>
    <s v="Animalia|Chordata|Aves|Charadriiformes|Recurvirostridae|Himantopus"/>
    <s v="Animalia"/>
    <s v="Chordata"/>
    <s v="Aves"/>
    <s v="Charadriiformes"/>
    <s v="Recurvirostridae"/>
    <x v="50"/>
    <s v="himantopus"/>
    <s v="Species"/>
    <s v="Black-winged stilt"/>
    <m/>
    <s v="ICZN"/>
    <m/>
    <m/>
    <s v="WGS84"/>
    <m/>
    <m/>
    <m/>
    <d v="2026-02-01T00:00:00"/>
    <s v="MaNIS georeferencing guidelines"/>
    <s v="Google Maps"/>
    <s v="verified by contributor"/>
    <s v="n.a."/>
    <m/>
    <m/>
    <x v="1"/>
    <s v=""/>
    <x v="2"/>
    <s v="n.a."/>
    <s v="PreservedSpecimen"/>
    <s v="ITA/ING"/>
    <s v="MZUR"/>
    <s v="ORN2025"/>
    <m/>
    <s v="Unknown"/>
    <s v="MZURORN2025-097"/>
    <n v="1"/>
    <n v="1"/>
    <s v="individuals"/>
    <s v="field collection"/>
    <s v="mounted specimen"/>
    <s v="Adult"/>
    <m/>
    <s v="DSC_0781.JPG"/>
    <s v="DSC_0780.JPG"/>
  </r>
  <r>
    <s v="MZURORN2025-098"/>
    <s v="PreservedSpecimen"/>
    <n v="1978"/>
    <n v="151"/>
    <n v="151"/>
    <x v="9"/>
    <n v="5"/>
    <n v="31"/>
    <d v="1905-05-31T00:00:00"/>
    <s v="Scopoli, 1786"/>
    <x v="59"/>
    <s v="Animalia|Chordata|Aves|Charadriiformes|Charadriidae|Charadrius"/>
    <s v="Animalia"/>
    <s v="Chordata"/>
    <s v="Aves"/>
    <s v="Charadriiformes"/>
    <s v="Charadriidae"/>
    <x v="51"/>
    <s v="dubius"/>
    <s v="Species"/>
    <s v="Little ringed plover"/>
    <m/>
    <s v="ICZN"/>
    <m/>
    <m/>
    <s v="WGS84"/>
    <m/>
    <m/>
    <m/>
    <d v="2026-02-01T00:00:00"/>
    <s v="MaNIS georeferencing guidelines"/>
    <s v="Google Maps"/>
    <s v="verified by contributor"/>
    <s v="n.a."/>
    <m/>
    <m/>
    <x v="1"/>
    <s v=""/>
    <x v="2"/>
    <s v="n.a."/>
    <s v="PreservedSpecimen"/>
    <s v="ITA/ING"/>
    <s v="MZUR"/>
    <s v="ORN2025"/>
    <m/>
    <s v="Male"/>
    <s v="MZURORN2025-098"/>
    <n v="1"/>
    <n v="1"/>
    <s v="individuals"/>
    <s v="field collection"/>
    <s v="mounted specimen"/>
    <s v="Adult"/>
    <m/>
    <s v="DSC_0783.JPG"/>
    <s v="DSC_0782.JPG"/>
  </r>
  <r>
    <s v="MZURORN2025-099"/>
    <s v="PreservedSpecimen"/>
    <s v="n.a."/>
    <s v=""/>
    <s v=""/>
    <x v="4"/>
    <s v=""/>
    <s v=""/>
    <s v="n.a."/>
    <s v="Linnaeus, 1758"/>
    <x v="60"/>
    <s v="Animalia|Chordata|Aves|Charadriiformes|Charadriidae|Charadrius"/>
    <s v="Animalia"/>
    <s v="Chordata"/>
    <s v="Aves"/>
    <s v="Charadriiformes"/>
    <s v="Charadriidae"/>
    <x v="51"/>
    <s v="hiaticula"/>
    <s v="Species"/>
    <s v="Common ringed plover"/>
    <m/>
    <s v="ICZN"/>
    <m/>
    <m/>
    <s v="WGS84"/>
    <m/>
    <m/>
    <m/>
    <d v="2026-02-01T00:00:00"/>
    <s v="MaNIS georeferencing guidelines"/>
    <s v="Google Maps"/>
    <s v="verified by contributor"/>
    <s v="n.a."/>
    <m/>
    <m/>
    <x v="1"/>
    <s v=""/>
    <x v="2"/>
    <s v="n.a."/>
    <s v="PreservedSpecimen"/>
    <s v="ITA/ING"/>
    <s v="MZUR"/>
    <s v="ORN2025"/>
    <m/>
    <s v="Unknown"/>
    <s v="MZURORN2025-099"/>
    <n v="1"/>
    <n v="1"/>
    <s v="individuals"/>
    <s v="field collection"/>
    <s v="mounted specimen"/>
    <s v="Adult"/>
    <m/>
    <s v="DSC_0785.JPG"/>
    <s v="DSC_0784.JPG"/>
  </r>
  <r>
    <s v="MZURORN2025-100"/>
    <s v="PreservedSpecimen"/>
    <d v="1961-10-18T00:00:00"/>
    <n v="291"/>
    <n v="291"/>
    <x v="15"/>
    <n v="10"/>
    <n v="18"/>
    <d v="1961-10-18T00:00:00"/>
    <s v="Linnaeus, 1758"/>
    <x v="61"/>
    <s v="Animalia|Chordata|Aves|Charadriiformes|Charadriidae|Vanellus"/>
    <s v="Animalia"/>
    <s v="Chordata"/>
    <s v="Aves"/>
    <s v="Charadriiformes"/>
    <s v="Charadriidae"/>
    <x v="52"/>
    <s v="vanellus"/>
    <s v="Species"/>
    <s v="Northern lapwing"/>
    <m/>
    <s v="ICZN"/>
    <m/>
    <m/>
    <s v="WGS84"/>
    <m/>
    <m/>
    <m/>
    <d v="2026-02-01T00:00:00"/>
    <s v="MaNIS georeferencing guidelines"/>
    <s v="Google Maps"/>
    <s v="verified by contributor"/>
    <s v="Europa | Italy | Piedmont | Cuneo"/>
    <s v="Europa"/>
    <m/>
    <x v="0"/>
    <s v="ITA"/>
    <x v="1"/>
    <s v="Cuneo"/>
    <s v="PreservedSpecimen"/>
    <s v="ITA/ING"/>
    <s v="MZUR"/>
    <s v="ORN2025"/>
    <m/>
    <s v="Male"/>
    <s v="MZURORN2025-100"/>
    <n v="1"/>
    <n v="1"/>
    <s v="individuals"/>
    <s v="field collection"/>
    <s v="mounted specimen"/>
    <s v="Adult"/>
    <m/>
    <s v="DSC_0787.JPG"/>
    <s v="DSC_0786.JPG"/>
  </r>
  <r>
    <s v="MZURORN2025-101"/>
    <s v="PreservedSpecimen"/>
    <n v="1875"/>
    <n v="48"/>
    <n v="48"/>
    <x v="18"/>
    <n v="2"/>
    <n v="17"/>
    <d v="1905-02-17T00:00:00"/>
    <s v="Linnaeus, 1758"/>
    <x v="62"/>
    <s v="Animalia|Chordata|Aves|Charadriiformes|Charadriidae|Pluvialis"/>
    <s v="Animalia"/>
    <s v="Chordata"/>
    <s v="Aves"/>
    <s v="Charadriiformes"/>
    <s v="Charadriidae"/>
    <x v="53"/>
    <s v="apricaria"/>
    <s v="Species"/>
    <s v="European golden plover"/>
    <m/>
    <s v="ICZN"/>
    <m/>
    <m/>
    <s v="WGS84"/>
    <m/>
    <m/>
    <m/>
    <d v="2026-02-01T00:00:00"/>
    <s v="MaNIS georeferencing guidelines"/>
    <s v="Google Maps"/>
    <s v="verified by contributor"/>
    <s v="Europa | Italy | Lazio | Rome"/>
    <s v="Europa"/>
    <m/>
    <x v="0"/>
    <s v="ITA"/>
    <x v="0"/>
    <s v="Rome"/>
    <s v="PreservedSpecimen"/>
    <s v="ITA/ING"/>
    <s v="MZUR"/>
    <s v="ORN2025"/>
    <m/>
    <s v="Unknown"/>
    <s v="MZURORN2025-101"/>
    <n v="1"/>
    <n v="1"/>
    <s v="individuals"/>
    <s v="field collection"/>
    <s v="mounted specimen"/>
    <s v="Adult"/>
    <m/>
    <s v="DSC_0789.JPG"/>
    <s v="DSC_0788.JPG"/>
  </r>
  <r>
    <s v="MZURORN2025-102"/>
    <s v="PreservedSpecimen"/>
    <s v="n.a."/>
    <n v="1978"/>
    <s v=""/>
    <x v="4"/>
    <s v=""/>
    <s v=""/>
    <s v="n.a."/>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n.a."/>
    <m/>
    <m/>
    <x v="1"/>
    <s v=""/>
    <x v="2"/>
    <s v="n.a."/>
    <s v="PreservedSpecimen"/>
    <s v="ITA/ING"/>
    <s v="MZUR"/>
    <s v="ORN2025"/>
    <m/>
    <s v="Unknown"/>
    <s v="MZURORN2025-102"/>
    <n v="1"/>
    <n v="1"/>
    <s v="individuals"/>
    <s v="field collection"/>
    <s v="mounted specimen"/>
    <s v="Adult"/>
    <m/>
    <s v="DSC_0791.JPG"/>
    <s v="DSC_0790.JPG"/>
  </r>
  <r>
    <s v="MZURORN2025-103"/>
    <s v="PreservedSpecimen"/>
    <n v="1875"/>
    <n v="48"/>
    <n v="48"/>
    <x v="18"/>
    <n v="2"/>
    <n v="17"/>
    <d v="1905-02-17T00:00:00"/>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Europa | Italy | Lazio | Rome"/>
    <s v="Europa"/>
    <m/>
    <x v="0"/>
    <s v="ITA"/>
    <x v="0"/>
    <s v="Rome"/>
    <s v="PreservedSpecimen"/>
    <s v="ITA/ING"/>
    <s v="MZUR"/>
    <s v="ORN2025"/>
    <m/>
    <s v="Male"/>
    <s v="MZURORN2025-103"/>
    <n v="1"/>
    <n v="1"/>
    <s v="individuals"/>
    <s v="field collection"/>
    <s v="mounted specimen"/>
    <s v="Adult"/>
    <m/>
    <s v="DSC_0793.JPG"/>
    <s v="DSC_0792.JPG"/>
  </r>
  <r>
    <s v="MZURORN2025-104"/>
    <s v="PreservedSpecimen"/>
    <n v="1887"/>
    <n v="60"/>
    <n v="60"/>
    <x v="29"/>
    <n v="3"/>
    <n v="1"/>
    <d v="1905-03-01T00:00:00"/>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Europa | Italy | Lazio | Rome"/>
    <s v="Europa"/>
    <m/>
    <x v="0"/>
    <s v="ITA"/>
    <x v="0"/>
    <s v="Rome"/>
    <s v="PreservedSpecimen"/>
    <s v="ITA/ING"/>
    <s v="MZUR"/>
    <s v="ORN2025"/>
    <m/>
    <s v="Unknown"/>
    <s v="MZURORN2025-104"/>
    <n v="1"/>
    <n v="1"/>
    <s v="individuals"/>
    <s v="field collection"/>
    <s v="mounted specimen"/>
    <s v="Adult"/>
    <m/>
    <s v="DSC_0795.JPG"/>
    <s v="DSC_0794.JPG"/>
  </r>
  <r>
    <s v="MZURORN2025-105"/>
    <s v="PreservedSpecimen"/>
    <s v="n.a."/>
    <s v=""/>
    <s v=""/>
    <x v="4"/>
    <s v=""/>
    <s v=""/>
    <s v="n.a."/>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Europa | Italy | Lazio | Ager Romanus"/>
    <s v="Europa"/>
    <m/>
    <x v="0"/>
    <s v="ITA"/>
    <x v="0"/>
    <s v="Ager Romanus"/>
    <s v="PreservedSpecimen"/>
    <s v="ITA/ING"/>
    <s v="MZUR"/>
    <s v="ORN2025"/>
    <m/>
    <s v="Male"/>
    <s v="MZURORN2025-105"/>
    <n v="1"/>
    <n v="1"/>
    <s v="individuals"/>
    <s v="field collection"/>
    <s v="mounted specimen"/>
    <s v="Adult"/>
    <m/>
    <s v="DSC_0798.JPG"/>
    <s v="DSC_0797.JPG"/>
  </r>
  <r>
    <s v="MZURORN2025-106"/>
    <s v="PreservedSpecimen"/>
    <n v="1878"/>
    <n v="51"/>
    <n v="51"/>
    <x v="30"/>
    <n v="2"/>
    <n v="20"/>
    <d v="1905-02-20T00:00:00"/>
    <s v="Latham, 1787"/>
    <x v="64"/>
    <s v="Animalia|Chordata|Aves|Charadriiformes|Scolopacidae|Gallinago"/>
    <s v="Animalia"/>
    <s v="Chordata"/>
    <s v="Aves"/>
    <s v="Charadriiformes"/>
    <s v="Scolopacidae"/>
    <x v="55"/>
    <s v="media"/>
    <s v="Species"/>
    <s v="Great snipe"/>
    <m/>
    <s v="ICZN"/>
    <m/>
    <m/>
    <s v="WGS84"/>
    <m/>
    <m/>
    <m/>
    <d v="2026-02-01T00:00:00"/>
    <s v="MaNIS georeferencing guidelines"/>
    <s v="Google Maps"/>
    <s v="verified by contributor"/>
    <s v="Europa | Italy | Lazio | Rome"/>
    <s v="Europa"/>
    <m/>
    <x v="0"/>
    <s v="ITA"/>
    <x v="0"/>
    <s v="Rome"/>
    <s v="PreservedSpecimen"/>
    <s v="ITA/ING"/>
    <s v="MZUR"/>
    <s v="ORN2025"/>
    <m/>
    <s v="Unknown"/>
    <s v="MZURORN2025-106"/>
    <n v="1"/>
    <n v="1"/>
    <s v="individuals"/>
    <s v="field collection"/>
    <s v="mounted specimen"/>
    <s v="Adult"/>
    <m/>
    <s v="DSC_0800.JPG"/>
    <s v="DSC_0799.JPG"/>
  </r>
  <r>
    <s v="MZURORN2025-107"/>
    <s v="PreservedSpecimen"/>
    <s v="n.a."/>
    <s v=""/>
    <s v=""/>
    <x v="4"/>
    <s v=""/>
    <s v=""/>
    <s v="n.a."/>
    <s v="Linnaeus, 1758"/>
    <x v="65"/>
    <s v="Animalia|Chordata|Aves|Charadriiformes|Scolopacidae|Scolopax"/>
    <s v="Animalia"/>
    <s v="Chordata"/>
    <s v="Aves"/>
    <s v="Charadriiformes"/>
    <s v="Scolopacidae"/>
    <x v="56"/>
    <s v="rusticola"/>
    <s v="Species"/>
    <s v="Eurasian woodcock"/>
    <m/>
    <s v="ICZN"/>
    <m/>
    <m/>
    <s v="WGS84"/>
    <m/>
    <m/>
    <m/>
    <d v="2026-02-01T00:00:00"/>
    <s v="MaNIS georeferencing guidelines"/>
    <s v="Google Maps"/>
    <s v="verified by contributor"/>
    <s v="Europa | Italy | Lazio | Rome"/>
    <s v="Europa"/>
    <m/>
    <x v="0"/>
    <s v="ITA"/>
    <x v="0"/>
    <s v="Rome"/>
    <s v="PreservedSpecimen"/>
    <s v="ITA/ING"/>
    <s v="MZUR"/>
    <s v="ORN2025"/>
    <m/>
    <s v="Unknown"/>
    <s v="MZURORN2025-107"/>
    <n v="1"/>
    <n v="1"/>
    <s v="individuals"/>
    <s v="field collection"/>
    <s v="mounted specimen"/>
    <s v="Adult"/>
    <m/>
    <s v="DSC_0802.JPG"/>
    <s v="DSC_0801.JPG"/>
  </r>
  <r>
    <s v="MZURORN2025-108"/>
    <s v="PreservedSpecimen"/>
    <d v="1956-12-02T00:00:00"/>
    <n v="337"/>
    <n v="337"/>
    <x v="14"/>
    <n v="12"/>
    <n v="2"/>
    <d v="1956-12-02T00:00:00"/>
    <s v="Linnaeus, 1758"/>
    <x v="66"/>
    <s v="Animalia|Chordata|Aves|Charadriiformes|Scolopacidae|Gallinago"/>
    <s v="Animalia"/>
    <s v="Chordata"/>
    <s v="Aves"/>
    <s v="Charadriiformes"/>
    <s v="Scolopacidae"/>
    <x v="55"/>
    <s v="gallinago"/>
    <s v="Species"/>
    <s v="Common snip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08"/>
    <n v="1"/>
    <n v="1"/>
    <s v="individuals"/>
    <s v="field collection"/>
    <s v="mounted specimen"/>
    <s v="Adult"/>
    <m/>
    <s v="DSC_0804.JPG"/>
    <s v="DSC_0803.JPG"/>
  </r>
  <r>
    <s v="MZURORN2025-109"/>
    <s v="PreservedSpecimen"/>
    <d v="1959-09-08T00:00:00"/>
    <n v="251"/>
    <n v="251"/>
    <x v="2"/>
    <n v="9"/>
    <n v="8"/>
    <d v="1959-09-08T00:00:00"/>
    <s v="Leisler, 1812"/>
    <x v="67"/>
    <s v="Animalia|Chordata|Aves|Charadriiformes|Scolopacidae|Calidris"/>
    <s v="Animalia"/>
    <s v="Chordata"/>
    <s v="Aves"/>
    <s v="Charadriiformes"/>
    <s v="Scolopacidae"/>
    <x v="54"/>
    <s v="minuta"/>
    <s v="Species"/>
    <s v="Little stin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09"/>
    <n v="1"/>
    <n v="1"/>
    <s v="individuals"/>
    <s v="field collection"/>
    <s v="mounted specimen"/>
    <s v="Adult"/>
    <m/>
    <s v="DSC_0806.JPG"/>
    <s v="DSC_0805.JPG"/>
  </r>
  <r>
    <s v="MZURORN2025-110"/>
    <s v="PreservedSpecimen"/>
    <s v="n.a."/>
    <s v=""/>
    <s v=""/>
    <x v="4"/>
    <s v=""/>
    <s v=""/>
    <s v="n.a."/>
    <s v="Linnaeus, 1758"/>
    <x v="66"/>
    <s v="Animalia|Chordata|Aves|Charadriiformes|Scolopacidae|Gallinago"/>
    <s v="Animalia"/>
    <s v="Chordata"/>
    <s v="Aves"/>
    <s v="Charadriiformes"/>
    <s v="Scolopacidae"/>
    <x v="55"/>
    <s v="gallinago"/>
    <s v="Species"/>
    <s v="Common snipe"/>
    <m/>
    <s v="ICZN"/>
    <m/>
    <m/>
    <s v="WGS84"/>
    <m/>
    <m/>
    <m/>
    <d v="2026-02-01T00:00:00"/>
    <s v="MaNIS georeferencing guidelines"/>
    <s v="Google Maps"/>
    <s v="verified by contributor"/>
    <s v="n.a."/>
    <m/>
    <m/>
    <x v="1"/>
    <s v=""/>
    <x v="2"/>
    <s v="n.a."/>
    <s v="PreservedSpecimen"/>
    <s v="ITA/ING"/>
    <s v="MZUR"/>
    <s v="ORN2025"/>
    <m/>
    <s v="Unknown"/>
    <s v="MZURORN2025-110"/>
    <n v="1"/>
    <n v="1"/>
    <s v="individuals"/>
    <s v="field collection"/>
    <s v="mounted specimen"/>
    <s v="Adult"/>
    <m/>
    <s v="DSC_0810.JPG"/>
    <s v="DSC_0808.JPG"/>
  </r>
  <r>
    <s v="MZURORN2025-111"/>
    <s v="PreservedSpecimen"/>
    <s v="n.a."/>
    <s v=""/>
    <s v=""/>
    <x v="4"/>
    <s v=""/>
    <s v=""/>
    <s v="n.a."/>
    <s v="Linnaeus, 1758"/>
    <x v="68"/>
    <s v="Animalia|Chordata|Aves|Charadriiformes|Scolopacidae|Tringa"/>
    <s v="Animalia"/>
    <s v="Chordata"/>
    <s v="Aves"/>
    <s v="Charadriiformes"/>
    <s v="Scolopacidae"/>
    <x v="57"/>
    <s v="totanus"/>
    <s v="Species"/>
    <s v="Common redshank"/>
    <m/>
    <s v="ICZN"/>
    <m/>
    <m/>
    <s v="WGS84"/>
    <m/>
    <m/>
    <m/>
    <d v="2026-02-01T00:00:00"/>
    <s v="MaNIS georeferencing guidelines"/>
    <s v="Google Maps"/>
    <s v="verified by contributor"/>
    <s v="Europa | Italy | Lazio | Ager Romanus"/>
    <s v="Europa"/>
    <m/>
    <x v="0"/>
    <s v="ITA"/>
    <x v="0"/>
    <s v="Ager Romanus"/>
    <s v="PreservedSpecimen"/>
    <s v="ITA/ING"/>
    <s v="MZUR"/>
    <s v="ORN2025"/>
    <m/>
    <s v="Unknown"/>
    <s v="MZURORN2025-111"/>
    <n v="1"/>
    <n v="1"/>
    <s v="individuals"/>
    <s v="field collection"/>
    <s v="mounted specimen"/>
    <s v="Adult"/>
    <m/>
    <s v="DSC_0812.JPG"/>
    <s v="DSC_0811.JPG"/>
  </r>
  <r>
    <s v="MZURORN2025-112"/>
    <s v="PreservedSpecimen"/>
    <d v="1958-12-05T00:00:00"/>
    <n v="339"/>
    <n v="339"/>
    <x v="19"/>
    <n v="12"/>
    <n v="5"/>
    <d v="1958-12-05T00:00:00"/>
    <s v="Linnaeus, 1758"/>
    <x v="69"/>
    <s v="Animalia|Chordata|Aves|Charadriiformes|Scolopacidae|Numenius"/>
    <s v="Animalia"/>
    <s v="Chordata"/>
    <s v="Aves"/>
    <s v="Charadriiformes"/>
    <s v="Scolopacidae"/>
    <x v="58"/>
    <s v="arquata"/>
    <s v="Species"/>
    <s v="Eurasian curlew"/>
    <m/>
    <s v="ICZN"/>
    <m/>
    <m/>
    <s v="WGS84"/>
    <m/>
    <m/>
    <m/>
    <d v="2026-02-01T00:00:00"/>
    <s v="MaNIS georeferencing guidelines"/>
    <s v="Google Maps"/>
    <s v="verified by contributor"/>
    <s v="Europa | Italy | Piedmont | Cuneo"/>
    <s v="Europa"/>
    <m/>
    <x v="0"/>
    <s v="ITA"/>
    <x v="1"/>
    <s v="Cuneo"/>
    <s v="PreservedSpecimen"/>
    <s v="ITA/ING"/>
    <s v="MZUR"/>
    <s v="ORN2025"/>
    <m/>
    <s v="Female"/>
    <s v="MZURORN2025-112"/>
    <n v="1"/>
    <n v="1"/>
    <s v="individuals"/>
    <s v="field collection"/>
    <s v="mounted specimen"/>
    <s v="Adult"/>
    <m/>
    <s v="DSC_0814.JPG"/>
    <s v="DSC_0813.JPG"/>
  </r>
  <r>
    <s v="MZURORN2025-113"/>
    <s v="PreservedSpecimen"/>
    <s v="n.a."/>
    <s v=""/>
    <s v=""/>
    <x v="4"/>
    <s v=""/>
    <s v=""/>
    <s v="n.a."/>
    <s v="Pallas, 1764"/>
    <x v="70"/>
    <s v="Animalia|Chordata|Aves|Charadriiformes|Scolopacidae|Tringa"/>
    <s v="Animalia"/>
    <s v="Chordata"/>
    <s v="Aves"/>
    <s v="Charadriiformes"/>
    <s v="Scolopacidae"/>
    <x v="57"/>
    <s v="erythropus"/>
    <s v="Species"/>
    <s v="Spotted redshank"/>
    <m/>
    <s v="ICZN"/>
    <m/>
    <m/>
    <s v="WGS84"/>
    <m/>
    <m/>
    <m/>
    <d v="2026-02-01T00:00:00"/>
    <s v="MaNIS georeferencing guidelines"/>
    <s v="Google Maps"/>
    <s v="verified by contributor"/>
    <s v="n.a."/>
    <m/>
    <m/>
    <x v="1"/>
    <s v=""/>
    <x v="2"/>
    <s v="n.a."/>
    <s v="PreservedSpecimen"/>
    <s v="ITA/ING"/>
    <s v="MZUR"/>
    <s v="ORN2025"/>
    <m/>
    <s v="Unknown"/>
    <s v="MZURORN2025-113"/>
    <n v="1"/>
    <n v="1"/>
    <s v="individuals"/>
    <s v="field collection"/>
    <s v="mounted specimen"/>
    <s v="Adult"/>
    <m/>
    <s v="DSC_0816.JPG"/>
    <s v="DSC_0815.JPG"/>
  </r>
  <r>
    <s v="MZURORN2025-114"/>
    <s v="PreservedSpecimen"/>
    <s v="n.a."/>
    <s v=""/>
    <s v=""/>
    <x v="4"/>
    <s v=""/>
    <s v=""/>
    <s v="n.a."/>
    <s v="Linnaeus, 1758"/>
    <x v="71"/>
    <s v="Animalia|Chordata|Aves|Charadriiformes|Scolopacidae|Tringa"/>
    <s v="Animalia"/>
    <s v="Chordata"/>
    <s v="Aves"/>
    <s v="Charadriiformes"/>
    <s v="Scolopacidae"/>
    <x v="57"/>
    <s v="glareola  "/>
    <s v="Species"/>
    <s v="Wood sandpiper"/>
    <m/>
    <s v="ICZN"/>
    <m/>
    <m/>
    <s v="WGS84"/>
    <m/>
    <m/>
    <m/>
    <d v="2026-02-01T00:00:00"/>
    <s v="MaNIS georeferencing guidelines"/>
    <s v="Google Maps"/>
    <s v="verified by contributor"/>
    <s v="n.a."/>
    <m/>
    <m/>
    <x v="1"/>
    <s v=""/>
    <x v="2"/>
    <s v="n.a."/>
    <s v="PreservedSpecimen"/>
    <s v="ITA/ING"/>
    <s v="MZUR"/>
    <s v="ORN2025"/>
    <m/>
    <s v="Unknown"/>
    <s v="MZURORN2025-114"/>
    <n v="1"/>
    <n v="1"/>
    <s v="individuals"/>
    <s v="field collection"/>
    <s v="mounted specimen"/>
    <s v="Adult"/>
    <m/>
    <s v="DSC_0818.JPG"/>
    <s v="DSC_0817.JPG"/>
  </r>
  <r>
    <s v="MZURORN2025-115"/>
    <s v="PreservedSpecimen"/>
    <d v="1952-08-23T00:00:00"/>
    <n v="236"/>
    <n v="236"/>
    <x v="31"/>
    <n v="8"/>
    <n v="23"/>
    <d v="1952-08-23T00:00:00"/>
    <s v="Linnaeus, 1758"/>
    <x v="72"/>
    <s v="Animalia|Chordata|Aves|Charadriiformes|Scolopacidae|Actitis"/>
    <s v="Animalia"/>
    <s v="Chordata"/>
    <s v="Aves"/>
    <s v="Charadriiformes"/>
    <s v="Scolopacidae"/>
    <x v="59"/>
    <s v="hypoleucos"/>
    <s v="Species"/>
    <s v="Common sandpiper"/>
    <m/>
    <s v="ICZN"/>
    <m/>
    <m/>
    <s v="WGS84"/>
    <m/>
    <m/>
    <m/>
    <d v="2026-02-01T00:00:00"/>
    <s v="MaNIS georeferencing guidelines"/>
    <s v="Google Maps"/>
    <s v="verified by contributor"/>
    <s v="Europa | Italy | Veneto | Valle Millecampi"/>
    <s v="Europa"/>
    <m/>
    <x v="0"/>
    <s v="ITA"/>
    <x v="3"/>
    <s v="Valle Millecampi"/>
    <s v="PreservedSpecimen"/>
    <s v="ITA/ING"/>
    <s v="MZUR"/>
    <s v="ORN2025"/>
    <m/>
    <s v="Male"/>
    <s v="MZURORN2025-115"/>
    <n v="1"/>
    <n v="1"/>
    <s v="individuals"/>
    <s v="field collection"/>
    <s v="mounted specimen"/>
    <s v="Adult"/>
    <m/>
    <s v="DSC_0820.JPG"/>
    <s v="DSC_0819.JPG"/>
  </r>
  <r>
    <s v="MZURORN2025-116"/>
    <s v="PreservedSpecimen"/>
    <s v="n.a."/>
    <s v=""/>
    <s v=""/>
    <x v="4"/>
    <s v=""/>
    <s v=""/>
    <s v="n.a."/>
    <s v="Linnaeus, 1758"/>
    <x v="69"/>
    <s v="Animalia|Chordata|Aves|Charadriiformes|Scolopacidae|Numenius"/>
    <s v="Animalia"/>
    <s v="Chordata"/>
    <s v="Aves"/>
    <s v="Charadriiformes"/>
    <s v="Scolopacidae"/>
    <x v="58"/>
    <s v="arquata"/>
    <s v="Species"/>
    <s v="Eurasian curlew"/>
    <m/>
    <s v="ICZN"/>
    <m/>
    <m/>
    <s v="WGS84"/>
    <m/>
    <m/>
    <m/>
    <d v="2026-02-01T00:00:00"/>
    <s v="MaNIS georeferencing guidelines"/>
    <s v="Google Maps"/>
    <s v="verified by contributor"/>
    <s v="n.a."/>
    <m/>
    <m/>
    <x v="1"/>
    <s v=""/>
    <x v="2"/>
    <s v="n.a."/>
    <s v="PreservedSpecimen"/>
    <s v="ITA/ING"/>
    <s v="MZUR"/>
    <s v="ORN2025"/>
    <m/>
    <s v="Unknown"/>
    <s v="MZURORN2025-116"/>
    <n v="1"/>
    <n v="1"/>
    <s v="individuals"/>
    <s v="field collection"/>
    <s v="mounted specimen"/>
    <s v="Adult"/>
    <m/>
    <s v="DSC_0822.JPG"/>
    <s v="DSC_0821.JPG"/>
  </r>
  <r>
    <s v="MZURORN2025-117"/>
    <s v="PreservedSpecimen"/>
    <d v="1978-03-30T00:00:00"/>
    <n v="89"/>
    <n v="89"/>
    <x v="9"/>
    <n v="3"/>
    <n v="30"/>
    <d v="1978-03-30T00:00:00"/>
    <s v="Linnaeus, 1758"/>
    <x v="73"/>
    <s v="Animalia|Chordata|Aves|Charadriiformes|Scolopacidae|Limosa"/>
    <s v="Animalia"/>
    <s v="Chordata"/>
    <s v="Aves"/>
    <s v="Charadriiformes"/>
    <s v="Scolopacidae"/>
    <x v="60"/>
    <s v="limosa"/>
    <s v="Species"/>
    <s v="Black-tailed godwit"/>
    <m/>
    <s v="ICZN"/>
    <m/>
    <m/>
    <s v="WGS84"/>
    <m/>
    <m/>
    <m/>
    <d v="2026-02-01T00:00:00"/>
    <s v="MaNIS georeferencing guidelines"/>
    <s v="Google Maps"/>
    <s v="verified by contributor"/>
    <s v="Europa | Italy | Lazio | Tarquinia"/>
    <s v="Europa"/>
    <m/>
    <x v="0"/>
    <s v="ITA"/>
    <x v="0"/>
    <s v="Tarquinia"/>
    <s v="PreservedSpecimen"/>
    <s v="ITA/ING"/>
    <s v="MZUR"/>
    <s v="ORN2025"/>
    <m/>
    <s v="Male"/>
    <s v="MZURORN2025-117"/>
    <n v="1"/>
    <n v="1"/>
    <s v="individuals"/>
    <s v="field collection"/>
    <s v="mounted specimen"/>
    <s v="Adult"/>
    <m/>
    <s v="DSC_0824.JPG"/>
    <s v="DSC_0823.JPG"/>
  </r>
  <r>
    <s v="MZURORN2025-118"/>
    <s v="PreservedSpecimen"/>
    <s v="n.a."/>
    <s v=""/>
    <s v=""/>
    <x v="4"/>
    <s v=""/>
    <s v=""/>
    <s v="n.a."/>
    <s v="Gunnerus, 1767"/>
    <x v="74"/>
    <s v="Animalia|Chordata|Aves|Charadriiformes|Scolopacidae|Tringa"/>
    <s v="Animalia"/>
    <s v="Chordata"/>
    <s v="Aves"/>
    <s v="Charadriiformes"/>
    <s v="Scolopacidae"/>
    <x v="57"/>
    <s v="nebularia"/>
    <s v="Species"/>
    <s v="Common greenshank"/>
    <m/>
    <s v="ICZN"/>
    <m/>
    <m/>
    <s v="WGS84"/>
    <m/>
    <m/>
    <m/>
    <d v="2026-02-01T00:00:00"/>
    <s v="MaNIS georeferencing guidelines"/>
    <s v="Google Maps"/>
    <s v="verified by contributor"/>
    <s v="n.a."/>
    <m/>
    <m/>
    <x v="1"/>
    <s v=""/>
    <x v="2"/>
    <s v="n.a."/>
    <s v="PreservedSpecimen"/>
    <s v="ITA/ING"/>
    <s v="MZUR"/>
    <s v="ORN2025"/>
    <m/>
    <s v="Unknown"/>
    <s v="MZURORN2025-118"/>
    <n v="1"/>
    <n v="1"/>
    <s v="individuals"/>
    <s v="field collection"/>
    <s v="mounted specimen"/>
    <s v="Adult"/>
    <m/>
    <s v="DSC_0826.JPG"/>
    <s v="DSC_0825.JPG"/>
  </r>
  <r>
    <s v="MZURORN2025-119"/>
    <s v="PreservedSpecimen"/>
    <d v="1958-07-02T00:00:00"/>
    <n v="183"/>
    <n v="183"/>
    <x v="19"/>
    <n v="7"/>
    <n v="2"/>
    <d v="1958-07-02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Limone Piemonte"/>
    <s v="Europa"/>
    <m/>
    <x v="0"/>
    <s v="ITA"/>
    <x v="1"/>
    <s v="Limone Piemonte"/>
    <s v="PreservedSpecimen"/>
    <s v="ITA/ING"/>
    <s v="MZUR"/>
    <s v="ORN2025"/>
    <m/>
    <s v="Unknown"/>
    <s v="MZURORN2025-119"/>
    <n v="1"/>
    <n v="1"/>
    <s v="individuals"/>
    <s v="field collection"/>
    <s v="mounted specimen"/>
    <s v="Nestling"/>
    <m/>
    <s v="DSC_0828.JPG"/>
    <s v="DSC_0827.JPG"/>
  </r>
  <r>
    <s v="MZURORN2025-120"/>
    <s v="PreservedSpecimen"/>
    <d v="1960-07-05T00:00:00"/>
    <n v="187"/>
    <n v="187"/>
    <x v="1"/>
    <n v="7"/>
    <n v="5"/>
    <d v="1960-07-05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Valdieri"/>
    <s v="Europa"/>
    <m/>
    <x v="0"/>
    <s v="ITA"/>
    <x v="1"/>
    <s v="Valdieri"/>
    <s v="PreservedSpecimen"/>
    <s v="ITA/ING"/>
    <s v="MZUR"/>
    <s v="ORN2025"/>
    <m/>
    <s v="Female"/>
    <s v="MZURORN2025-120"/>
    <n v="1"/>
    <n v="1"/>
    <s v="individuals"/>
    <s v="field collection"/>
    <s v="mounted specimen"/>
    <s v="Adult"/>
    <m/>
    <s v="DSC_0830.JPG"/>
    <s v="DSC_0829.JPG"/>
  </r>
  <r>
    <s v="MZURORN2025-121"/>
    <s v="PreservedSpecimen"/>
    <d v="1959-12-06T00:00:00"/>
    <n v="340"/>
    <n v="340"/>
    <x v="2"/>
    <n v="12"/>
    <n v="6"/>
    <d v="1959-12-06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Borgo San Dalmazzo"/>
    <s v="Europa"/>
    <m/>
    <x v="0"/>
    <s v="ITA"/>
    <x v="1"/>
    <s v="Borgo San Dalmazzo"/>
    <s v="PreservedSpecimen"/>
    <s v="ITA/ING"/>
    <s v="MZUR"/>
    <s v="ORN2025"/>
    <m/>
    <s v="Unknown"/>
    <s v="MZURORN2025-121"/>
    <n v="1"/>
    <n v="1"/>
    <s v="individuals"/>
    <s v="field collection"/>
    <s v="mounted specimen"/>
    <s v="Adult"/>
    <m/>
    <s v="DSC_0832.JPG"/>
    <s v="DSC_0831.JPG"/>
  </r>
  <r>
    <s v="MZURORN2025-122"/>
    <s v="PreservedSpecimen"/>
    <n v="1895"/>
    <n v="68"/>
    <n v="68"/>
    <x v="24"/>
    <n v="3"/>
    <n v="9"/>
    <d v="1905-03-09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Lazio | Fiumicino"/>
    <s v="Europa"/>
    <m/>
    <x v="0"/>
    <s v="ITA"/>
    <x v="0"/>
    <s v="Fiumicino"/>
    <s v="PreservedSpecimen"/>
    <s v="ITA/ING"/>
    <s v="MZUR"/>
    <s v="ORN2025"/>
    <m/>
    <s v="Male"/>
    <s v="MZURORN2025-122"/>
    <n v="1"/>
    <n v="1"/>
    <s v="individuals"/>
    <s v="field collection"/>
    <s v="mounted specimen"/>
    <s v="Adult"/>
    <m/>
    <s v="DSC_0834.JPG"/>
    <s v="DSC_0833.JPG"/>
  </r>
  <r>
    <s v="MZURORN2025-123"/>
    <s v="PreservedSpecimen"/>
    <d v="1959-05-02T00:00:00"/>
    <n v="122"/>
    <n v="122"/>
    <x v="2"/>
    <n v="5"/>
    <n v="2"/>
    <d v="1959-05-02T00:00:00"/>
    <s v="Linnaeus, 1758"/>
    <x v="75"/>
    <s v="Animalia|Chordata|Aves|Falconiformes|Falconidae|Falco"/>
    <s v="Animalia"/>
    <s v="Chordata"/>
    <s v="Aves"/>
    <s v="Falconiformes"/>
    <s v="Falconidae"/>
    <x v="20"/>
    <s v="subbuteo"/>
    <s v="Species"/>
    <s v="Eurasian hobby"/>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23"/>
    <n v="1"/>
    <n v="1"/>
    <s v="individuals"/>
    <s v="field collection"/>
    <s v="mounted specimen"/>
    <s v="Juvenile"/>
    <m/>
    <s v="DSC_0836.JPG"/>
    <s v="DSC_0835.JPG"/>
  </r>
  <r>
    <s v="MZURORN2025-124"/>
    <s v="PreservedSpecimen"/>
    <d v="1960-09-20T00:00:00"/>
    <n v="264"/>
    <n v="264"/>
    <x v="1"/>
    <n v="9"/>
    <n v="20"/>
    <d v="1960-09-20T00:00:00"/>
    <s v="Linnaeus, 1758"/>
    <x v="75"/>
    <s v="Animalia|Chordata|Aves|Falconiformes|Falconidae|Falco"/>
    <s v="Animalia"/>
    <s v="Chordata"/>
    <s v="Aves"/>
    <s v="Falconiformes"/>
    <s v="Falconidae"/>
    <x v="20"/>
    <s v="subbuteo"/>
    <s v="Species"/>
    <s v="Eurasian hobby"/>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24"/>
    <n v="1"/>
    <n v="1"/>
    <s v="individuals"/>
    <s v="field collection"/>
    <s v="mounted specimen"/>
    <s v="Juvenile"/>
    <m/>
    <s v="DSC_0838.JPG"/>
    <s v="DSC_0837.JPG"/>
  </r>
  <r>
    <s v="MZURORN2025-125"/>
    <s v="PreservedSpecimen"/>
    <n v="1901"/>
    <n v="74"/>
    <n v="74"/>
    <x v="27"/>
    <n v="3"/>
    <n v="15"/>
    <d v="1905-03-15T00:00:00"/>
    <s v="Linnaeus, 1758"/>
    <x v="75"/>
    <s v="Animalia|Chordata|Aves|Falconiformes|Falconidae|Falco"/>
    <s v="Animalia"/>
    <s v="Chordata"/>
    <s v="Aves"/>
    <s v="Falconiformes"/>
    <s v="Falconidae"/>
    <x v="20"/>
    <s v="subbuteo"/>
    <s v="Species"/>
    <s v="Eurasian hobby"/>
    <m/>
    <s v="ICZN"/>
    <m/>
    <m/>
    <s v="WGS84"/>
    <m/>
    <m/>
    <m/>
    <d v="2026-02-01T00:00:00"/>
    <s v="MaNIS georeferencing guidelines"/>
    <s v="Google Maps"/>
    <s v="verified by contributor"/>
    <s v="Europa | Italy | Lazio | Rome"/>
    <s v="Europa"/>
    <m/>
    <x v="0"/>
    <s v="ITA"/>
    <x v="0"/>
    <s v="Rome"/>
    <s v="PreservedSpecimen"/>
    <s v="ITA/ING"/>
    <s v="MZUR"/>
    <s v="ORN2025"/>
    <m/>
    <s v="Unknown"/>
    <s v="MZURORN2025-125"/>
    <n v="1"/>
    <n v="1"/>
    <s v="individuals"/>
    <s v="field collection"/>
    <s v="mounted specimen"/>
    <s v="Adult"/>
    <m/>
    <s v="DSC_0840.JPG"/>
    <s v="DSC_0839.JPG"/>
  </r>
  <r>
    <s v="MZURORN2025-126"/>
    <s v="PreservedSpecimen"/>
    <d v="1958-05-01T00:00:00"/>
    <n v="121"/>
    <n v="121"/>
    <x v="19"/>
    <n v="5"/>
    <n v="1"/>
    <d v="1958-05-01T00:00:00"/>
    <s v="Fleischer, 1818"/>
    <x v="76"/>
    <s v="Animalia|Chordata|Aves|Falconiformes|Falconidae|Falco"/>
    <s v="Animalia"/>
    <s v="Chordata"/>
    <s v="Aves"/>
    <s v="Falconiformes"/>
    <s v="Falconidae"/>
    <x v="20"/>
    <s v="naumanni"/>
    <s v="Species"/>
    <s v="Lesser kestrel"/>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26"/>
    <n v="1"/>
    <n v="1"/>
    <s v="individuals"/>
    <s v="field collection"/>
    <s v="mounted specimen"/>
    <s v="Adult"/>
    <m/>
    <s v="DSC_0842.JPG"/>
    <s v="DSC_0841.JPG"/>
  </r>
  <r>
    <s v="MZURORN2025-127"/>
    <s v="PreservedSpecimen"/>
    <d v="1961-10-29T00:00:00"/>
    <n v="302"/>
    <n v="302"/>
    <x v="15"/>
    <n v="10"/>
    <n v="29"/>
    <d v="1961-10-29T00:00:00"/>
    <s v="Montin, 1781"/>
    <x v="77"/>
    <s v="Animalia|Chordata|Aves|Galliformes|Phasianidae|Lagopus"/>
    <s v="Animalia"/>
    <s v="Chordata"/>
    <s v="Aves"/>
    <s v="Galliformes"/>
    <s v="Phasianidae"/>
    <x v="61"/>
    <s v="muta"/>
    <s v="Species"/>
    <s v="Rock ptarmigan"/>
    <m/>
    <s v="ICZN"/>
    <m/>
    <m/>
    <s v="WGS84"/>
    <m/>
    <m/>
    <m/>
    <d v="2026-02-01T00:00:00"/>
    <s v="MaNIS georeferencing guidelines"/>
    <s v="Google Maps"/>
    <s v="verified by contributor"/>
    <s v="Europa | Italy | Piedmont | Palanfrè"/>
    <s v="Europa"/>
    <m/>
    <x v="0"/>
    <s v="ITA"/>
    <x v="1"/>
    <s v="Palanfrè"/>
    <s v="PreservedSpecimen"/>
    <s v="ITA/ING"/>
    <s v="MZUR"/>
    <s v="ORN2025"/>
    <m/>
    <s v="Male"/>
    <s v="MZURORN2025-127"/>
    <n v="1"/>
    <n v="1"/>
    <s v="individuals"/>
    <s v="field collection"/>
    <s v="mounted specimen"/>
    <s v="Adult"/>
    <m/>
    <s v="DSC_0844.JPG"/>
    <s v="DSC_0843.JPG"/>
  </r>
  <r>
    <s v="MZURORN2025-128"/>
    <s v="PreservedSpecimen"/>
    <d v="1958-07-17T00:00:00"/>
    <n v="198"/>
    <n v="198"/>
    <x v="19"/>
    <n v="7"/>
    <n v="17"/>
    <d v="1958-07-17T00:00:00"/>
    <s v="Montin, 1781"/>
    <x v="77"/>
    <s v="Animalia|Chordata|Aves|Galliformes|Phasianidae|Lagopus"/>
    <s v="Animalia"/>
    <s v="Chordata"/>
    <s v="Aves"/>
    <s v="Galliformes"/>
    <s v="Phasianidae"/>
    <x v="61"/>
    <s v="muta"/>
    <s v="Species"/>
    <s v="Rock ptarmigan"/>
    <m/>
    <s v="ICZN"/>
    <m/>
    <m/>
    <s v="WGS84"/>
    <m/>
    <m/>
    <m/>
    <d v="2026-02-01T00:00:00"/>
    <s v="MaNIS georeferencing guidelines"/>
    <s v="Google Maps"/>
    <s v="verified by contributor"/>
    <s v="Europa | Italy | Piedmont | S. Anna di Vinadio"/>
    <s v="Europa"/>
    <m/>
    <x v="0"/>
    <s v="ITA"/>
    <x v="1"/>
    <s v="S. Anna di Vinadio"/>
    <s v="PreservedSpecimen"/>
    <s v="ITA/ING"/>
    <s v="MZUR"/>
    <s v="ORN2025"/>
    <m/>
    <s v="Unknown"/>
    <s v="MZURORN2025-128"/>
    <n v="1"/>
    <n v="1"/>
    <s v="individuals"/>
    <s v="field collection"/>
    <s v="mounted specimen"/>
    <s v="Nestling"/>
    <m/>
    <s v="DSC_0846.JPG"/>
    <s v="DSC_0845.JPG"/>
  </r>
  <r>
    <s v="MZURORN2025-129"/>
    <s v="PreservedSpecimen"/>
    <d v="1958-11-12T00:00:00"/>
    <n v="316"/>
    <n v="316"/>
    <x v="19"/>
    <n v="11"/>
    <n v="12"/>
    <d v="1958-11-12T00:00:00"/>
    <s v="Meisner, 1804"/>
    <x v="78"/>
    <s v="Animalia|Chordata|Aves|Galliformes|Phasianidae|Alectoris"/>
    <s v="Animalia"/>
    <s v="Chordata"/>
    <s v="Aves"/>
    <s v="Galliformes"/>
    <s v="Phasianidae"/>
    <x v="38"/>
    <s v="graeca"/>
    <s v="Species"/>
    <s v="Rock partridge"/>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29"/>
    <n v="1"/>
    <n v="1"/>
    <s v="individuals"/>
    <s v="field collection"/>
    <s v="mounted specimen"/>
    <s v="Adult"/>
    <m/>
    <s v="DSC_0848.JPG"/>
    <s v="DSC_0847.JPG"/>
  </r>
  <r>
    <s v="MZURORN2025-130"/>
    <s v="PreservedSpecimen"/>
    <d v="1959-09-19T00:00:00"/>
    <n v="262"/>
    <n v="262"/>
    <x v="2"/>
    <n v="9"/>
    <n v="19"/>
    <d v="1959-09-19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Cuneo"/>
    <s v="Europa"/>
    <m/>
    <x v="0"/>
    <s v="ITA"/>
    <x v="1"/>
    <s v="Cuneo"/>
    <s v="PreservedSpecimen"/>
    <s v="ITA/ING"/>
    <s v="MZUR"/>
    <s v="ORN2025"/>
    <m/>
    <s v="Male"/>
    <s v="MZURORN2025-130"/>
    <n v="1"/>
    <n v="1"/>
    <s v="individuals"/>
    <s v="field collection"/>
    <s v="mounted specimen"/>
    <s v="Juvenile"/>
    <m/>
    <s v="DSC_0850.JPG"/>
    <s v="DSC_0849.JPG"/>
  </r>
  <r>
    <s v="MZURORN2025-131"/>
    <s v="PreservedSpecimen"/>
    <d v="1960-09-09T00:00:00"/>
    <n v="253"/>
    <n v="253"/>
    <x v="1"/>
    <n v="9"/>
    <n v="9"/>
    <d v="1960-09-09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Vinadio"/>
    <s v="Europa"/>
    <m/>
    <x v="0"/>
    <s v="ITA"/>
    <x v="1"/>
    <s v="Vinadio"/>
    <s v="PreservedSpecimen"/>
    <s v="ITA/ING"/>
    <s v="MZUR"/>
    <s v="ORN2025"/>
    <m/>
    <s v="Female"/>
    <s v="MZURORN2025-131"/>
    <n v="1"/>
    <n v="1"/>
    <s v="individuals"/>
    <s v="field collection"/>
    <s v="mounted specimen"/>
    <s v="Adult"/>
    <m/>
    <s v="DSC_0852.JPG"/>
    <s v="DSC_0851.JPG"/>
  </r>
  <r>
    <s v="MZURORN2025-132"/>
    <s v="PreservedSpecimen"/>
    <n v="1896"/>
    <n v="69"/>
    <n v="69"/>
    <x v="11"/>
    <n v="3"/>
    <n v="10"/>
    <d v="1905-03-10T00:00:00"/>
    <s v="Linnaeus, 1758"/>
    <x v="79"/>
    <s v="Animalia|Chordata|Aves|Galliformes|Phasianidae|Perdix"/>
    <s v="Animalia"/>
    <s v="Chordata"/>
    <s v="Aves"/>
    <s v="Galliformes"/>
    <s v="Phasianidae"/>
    <x v="62"/>
    <s v="perdix"/>
    <s v="Species"/>
    <s v="Grey partridge"/>
    <m/>
    <s v="ICZN"/>
    <m/>
    <m/>
    <s v="WGS84"/>
    <m/>
    <m/>
    <m/>
    <d v="2026-02-01T00:00:00"/>
    <s v="MaNIS georeferencing guidelines"/>
    <s v="Google Maps"/>
    <s v="verified by contributor"/>
    <s v="Europa | Italy | Lazio | Rome"/>
    <s v="Europa"/>
    <m/>
    <x v="0"/>
    <s v="ITA"/>
    <x v="0"/>
    <s v="Rome"/>
    <s v="PreservedSpecimen"/>
    <s v="ITA/ING"/>
    <s v="MZUR"/>
    <s v="ORN2025"/>
    <m/>
    <s v="Female"/>
    <s v="MZURORN2025-132"/>
    <n v="1"/>
    <n v="1"/>
    <s v="individuals"/>
    <s v="field collection"/>
    <s v="mounted specimen"/>
    <s v="Adult"/>
    <m/>
    <s v="DSC_0854.JPG"/>
    <s v="DSC_0853.JPG"/>
  </r>
  <r>
    <s v="MZURORN2025-133"/>
    <s v="PreservedSpecimen"/>
    <n v="1888"/>
    <n v="61"/>
    <n v="61"/>
    <x v="20"/>
    <n v="3"/>
    <n v="2"/>
    <d v="1905-03-02T00:00:00"/>
    <s v="Linnaeus, 1758"/>
    <x v="80"/>
    <s v="Animalia|Chordata|Aves|Galliformes|Phasianidae|Coturnix"/>
    <s v="Animalia"/>
    <s v="Chordata"/>
    <s v="Aves"/>
    <s v="Galliformes"/>
    <s v="Phasianidae"/>
    <x v="63"/>
    <s v="coturnix"/>
    <s v="Species"/>
    <s v="Common quail"/>
    <m/>
    <s v="ICZN"/>
    <m/>
    <m/>
    <s v="WGS84"/>
    <m/>
    <m/>
    <m/>
    <d v="2026-02-01T00:00:00"/>
    <s v="MaNIS georeferencing guidelines"/>
    <s v="Google Maps"/>
    <s v="verified by contributor"/>
    <s v="Europa | Italy | Lazio | Rome"/>
    <s v="Europa"/>
    <m/>
    <x v="0"/>
    <s v="ITA"/>
    <x v="0"/>
    <s v="Rome"/>
    <s v="PreservedSpecimen"/>
    <s v="ITA/ING"/>
    <s v="MZUR"/>
    <s v="ORN2025"/>
    <m/>
    <s v="Male"/>
    <s v="MZURORN2025-133"/>
    <n v="1"/>
    <n v="1"/>
    <s v="individuals"/>
    <s v="field collection"/>
    <s v="mounted specimen"/>
    <s v="Adult"/>
    <m/>
    <s v="DSC_0856.JPG"/>
    <s v="DSC_0855.JPG"/>
  </r>
  <r>
    <s v="MZURORN2025-134"/>
    <s v="PreservedSpecimen"/>
    <d v="1956-12-08T00:00:00"/>
    <n v="343"/>
    <n v="343"/>
    <x v="14"/>
    <n v="12"/>
    <n v="8"/>
    <d v="1956-12-08T00:00:00"/>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34"/>
    <n v="1"/>
    <n v="1"/>
    <s v="individuals"/>
    <s v="field collection"/>
    <s v="mounted specimen"/>
    <s v="Adult"/>
    <m/>
    <s v="DSC_0858.JPG"/>
    <s v="DSC_0857.JPG"/>
  </r>
  <r>
    <s v="MZURORN2025-135"/>
    <s v="PreservedSpecimen"/>
    <s v="n.a."/>
    <s v=""/>
    <s v=""/>
    <x v="4"/>
    <s v=""/>
    <s v=""/>
    <s v="n.a."/>
    <s v="Linnaeus, 1758"/>
    <x v="80"/>
    <s v="Animalia|Chordata|Aves|Galliformes|Phasianidae|Coturnix"/>
    <s v="Animalia"/>
    <s v="Chordata"/>
    <s v="Aves"/>
    <s v="Galliformes"/>
    <s v="Phasianidae"/>
    <x v="63"/>
    <s v="coturnix"/>
    <s v="Species"/>
    <s v="Common quail"/>
    <m/>
    <s v="ICZN"/>
    <m/>
    <m/>
    <s v="WGS84"/>
    <m/>
    <m/>
    <m/>
    <d v="2026-02-01T00:00:00"/>
    <s v="MaNIS georeferencing guidelines"/>
    <s v="Google Maps"/>
    <s v="verified by contributor"/>
    <s v="n.a."/>
    <m/>
    <m/>
    <x v="1"/>
    <s v=""/>
    <x v="2"/>
    <s v="n.a."/>
    <s v="PreservedSpecimen"/>
    <s v="ITA/ING"/>
    <s v="MZUR"/>
    <s v="ORN2025"/>
    <m/>
    <s v="Unknown"/>
    <s v="MZURORN2025-135"/>
    <n v="1"/>
    <n v="1"/>
    <s v="individuals"/>
    <s v="field collection"/>
    <s v="mounted specimen"/>
    <s v="Juvenile"/>
    <m/>
    <s v="DSC_0870.JPG"/>
    <s v="DSC_0859.JPG"/>
  </r>
  <r>
    <s v="MZURORN2025-136"/>
    <s v="PreservedSpecimen"/>
    <d v="1961-10-07T00:00:00"/>
    <n v="280"/>
    <n v="280"/>
    <x v="15"/>
    <n v="10"/>
    <n v="7"/>
    <d v="1961-10-07T00:00:00"/>
    <s v="Linnaeus, 1758"/>
    <x v="80"/>
    <s v="Animalia|Chordata|Aves|Galliformes|Phasianidae|Coturnix"/>
    <s v="Animalia"/>
    <s v="Chordata"/>
    <s v="Aves"/>
    <s v="Galliformes"/>
    <s v="Phasianidae"/>
    <x v="63"/>
    <s v="coturnix"/>
    <s v="Species"/>
    <s v="Common quai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36"/>
    <n v="1"/>
    <n v="1"/>
    <s v="individuals"/>
    <s v="field collection"/>
    <s v="mounted specimen"/>
    <s v="Adult"/>
    <m/>
    <s v="DSC_0872.JPG"/>
    <s v="DSC_0871.JPG"/>
  </r>
  <r>
    <s v="MZURORN2025-137"/>
    <s v="PreservedSpecimen"/>
    <d v="1961-12-29T00:00:00"/>
    <n v="363"/>
    <n v="363"/>
    <x v="15"/>
    <n v="12"/>
    <n v="29"/>
    <d v="1961-12-29T00:00:00"/>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Europa | Italy | Piedmont | Costigliole Saluzzo"/>
    <s v="Europa"/>
    <m/>
    <x v="0"/>
    <s v="ITA"/>
    <x v="1"/>
    <s v="Costigliole Saluzzo"/>
    <s v="PreservedSpecimen"/>
    <s v="ITA/ING"/>
    <s v="MZUR"/>
    <s v="ORN2025"/>
    <m/>
    <s v="Female"/>
    <s v="MZURORN2025-137"/>
    <n v="1"/>
    <n v="1"/>
    <s v="individuals"/>
    <s v="field collection"/>
    <s v="mounted specimen"/>
    <s v="Adult"/>
    <m/>
    <s v="DSC_0874.JPG"/>
    <s v="DSC_0873.JPG"/>
  </r>
  <r>
    <s v="MZURORN2025-138"/>
    <s v="PreservedSpecimen"/>
    <n v="1892"/>
    <n v="65"/>
    <n v="65"/>
    <x v="32"/>
    <n v="3"/>
    <n v="6"/>
    <d v="1905-03-06T00:00:00"/>
    <s v="Linnaeus, 1758"/>
    <x v="24"/>
    <s v="Animalia|Chordata|Aves|Gruiformes|Rallidae|Fulica"/>
    <s v="Animalia"/>
    <s v="Chordata"/>
    <s v="Aves"/>
    <s v="Gruiformes"/>
    <s v="Rallidae"/>
    <x v="23"/>
    <s v="atra"/>
    <s v="Species"/>
    <s v="Eurasian coot"/>
    <m/>
    <s v="ICZN"/>
    <m/>
    <m/>
    <s v="WGS84"/>
    <m/>
    <m/>
    <m/>
    <d v="2026-02-01T00:00:00"/>
    <s v="MaNIS georeferencing guidelines"/>
    <s v="Google Maps"/>
    <s v="verified by contributor"/>
    <s v="Europa | Italy | Lazio | Rome"/>
    <s v="Europa"/>
    <m/>
    <x v="0"/>
    <s v="ITA"/>
    <x v="0"/>
    <s v="Rome"/>
    <s v="PreservedSpecimen"/>
    <s v="ITA/ING"/>
    <s v="MZUR"/>
    <s v="ORN2025"/>
    <m/>
    <s v="Unknown"/>
    <s v="MZURORN2025-138"/>
    <n v="1"/>
    <n v="1"/>
    <s v="individuals"/>
    <s v="field collection"/>
    <s v="mounted specimen"/>
    <s v="Adult"/>
    <m/>
    <s v="DSC_0876.JPG"/>
    <s v="DSC_0875.JPG"/>
  </r>
  <r>
    <s v="MZURORN2025-139"/>
    <s v="PreservedSpecimen"/>
    <d v="1961-10-05T00:00:00"/>
    <n v="278"/>
    <n v="278"/>
    <x v="15"/>
    <n v="10"/>
    <n v="5"/>
    <d v="1961-10-05T00:00:00"/>
    <s v="Linnaeus, 1758"/>
    <x v="25"/>
    <s v="Animalia|Chordata|Aves|Gruiformes|Rallidae|Gallinula"/>
    <s v="Animalia"/>
    <s v="Chordata"/>
    <s v="Aves"/>
    <s v="Gruiformes"/>
    <s v="Rallidae"/>
    <x v="24"/>
    <s v="chloropus"/>
    <s v="Species"/>
    <s v="Common moorhen"/>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39"/>
    <n v="1"/>
    <n v="1"/>
    <s v="individuals"/>
    <s v="field collection"/>
    <s v="mounted specimen"/>
    <s v="Adult"/>
    <m/>
    <s v="DSC_0878.JPG"/>
    <s v="DSC_0877.JPG"/>
  </r>
  <r>
    <s v="MZURORN2025-140"/>
    <s v="PreservedSpecimen"/>
    <s v="n.a."/>
    <s v=""/>
    <s v=""/>
    <x v="4"/>
    <s v=""/>
    <s v=""/>
    <s v="n.a."/>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Europa | Italy | Lazio | Rome"/>
    <s v="Europa"/>
    <m/>
    <x v="0"/>
    <s v="ITA"/>
    <x v="0"/>
    <s v="Rome"/>
    <s v="PreservedSpecimen"/>
    <s v="ITA/ING"/>
    <s v="MZUR"/>
    <s v="ORN2025"/>
    <m/>
    <s v="Unknown"/>
    <s v="MZURORN2025-140"/>
    <n v="1"/>
    <n v="1"/>
    <s v="individuals"/>
    <s v="field collection"/>
    <s v="mounted specimen"/>
    <s v="Adult"/>
    <m/>
    <s v="DSC_0880.JPG"/>
    <s v="DSC_0879.JPG"/>
  </r>
  <r>
    <s v="MZURORN2025-141"/>
    <s v="PreservedSpecimen"/>
    <d v="1957-11-15T00:00:00"/>
    <n v="319"/>
    <n v="319"/>
    <x v="10"/>
    <n v="11"/>
    <n v="15"/>
    <d v="1957-11-15T00:00:00"/>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41"/>
    <n v="1"/>
    <n v="1"/>
    <s v="individuals"/>
    <s v="field collection"/>
    <s v="mounted specimen"/>
    <s v="Adult"/>
    <m/>
    <s v="DSC_0882.JPG"/>
    <s v="DSC_0881.JPG"/>
  </r>
  <r>
    <s v="MZURORN2025-142"/>
    <s v="PreservedSpecimen"/>
    <d v="1959-09-23T00:00:00"/>
    <n v="266"/>
    <n v="266"/>
    <x v="2"/>
    <n v="9"/>
    <n v="23"/>
    <d v="1959-09-23T00:00:00"/>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Europa | Italy | Piedmont | Certosa di Pesio"/>
    <s v="Europa"/>
    <m/>
    <x v="0"/>
    <s v="ITA"/>
    <x v="1"/>
    <s v="Certosa di Pesio"/>
    <s v="PreservedSpecimen"/>
    <s v="ITA/ING"/>
    <s v="MZUR"/>
    <s v="ORN2025"/>
    <m/>
    <s v="Male"/>
    <s v="MZURORN2025-142"/>
    <n v="1"/>
    <n v="1"/>
    <s v="individuals"/>
    <s v="field collection"/>
    <s v="mounted specimen"/>
    <s v="Adult"/>
    <m/>
    <s v="DSC_0884.JPG"/>
    <s v="DSC_0883.JPG"/>
  </r>
  <r>
    <s v="MZURORN2025-143"/>
    <s v="PreservedSpecimen"/>
    <s v="n.a."/>
    <s v=""/>
    <s v=""/>
    <x v="4"/>
    <s v=""/>
    <s v=""/>
    <s v="n.a."/>
    <s v="Linnaeus, 1758"/>
    <x v="81"/>
    <s v="Animalia|Chordata|Aves|Accipitriformes|Accipitridae|Milvus"/>
    <s v="Animalia"/>
    <s v="Chordata"/>
    <s v="Aves"/>
    <s v="Accipitriformes"/>
    <s v="Accipitridae"/>
    <x v="64"/>
    <s v="milvus"/>
    <s v="Species"/>
    <s v="Red kite"/>
    <m/>
    <s v="ICZN"/>
    <m/>
    <m/>
    <s v="WGS84"/>
    <m/>
    <m/>
    <m/>
    <d v="2026-02-01T00:00:00"/>
    <s v="MaNIS georeferencing guidelines"/>
    <s v="Google Maps"/>
    <s v="verified by contributor"/>
    <s v="Europa | Italy | Lazio | Castelporziano"/>
    <s v="Europa"/>
    <m/>
    <x v="0"/>
    <s v="ITA"/>
    <x v="0"/>
    <s v="Castelporziano"/>
    <s v="PreservedSpecimen"/>
    <s v="ITA/ING"/>
    <s v="MZUR"/>
    <s v="ORN2025"/>
    <m/>
    <s v="Unknown"/>
    <s v="MZURORN2025-143"/>
    <n v="1"/>
    <n v="1"/>
    <s v="individuals"/>
    <s v="field collection"/>
    <s v="mounted specimen"/>
    <s v="Adult"/>
    <m/>
    <s v="DSC_0886.JPG"/>
    <s v="DSC_0885.JPG"/>
  </r>
  <r>
    <s v="MZURORN2025-144"/>
    <s v="PreservedSpecimen"/>
    <d v="1919-05-03T00:00:00"/>
    <n v="123"/>
    <n v="123"/>
    <x v="33"/>
    <n v="5"/>
    <n v="3"/>
    <d v="1919-05-03T00:00:00"/>
    <s v="Boddaert, 1783"/>
    <x v="82"/>
    <s v="Animalia|Chordata|Aves|Accipitriformes|Accipitridae|Milvus"/>
    <s v="Animalia"/>
    <s v="Chordata"/>
    <s v="Aves"/>
    <s v="Accipitriformes"/>
    <s v="Accipitridae"/>
    <x v="64"/>
    <s v="migrans"/>
    <s v="Species"/>
    <s v="Black kite"/>
    <m/>
    <s v="ICZN"/>
    <m/>
    <m/>
    <s v="WGS84"/>
    <m/>
    <m/>
    <m/>
    <d v="2026-02-01T00:00:00"/>
    <s v="MaNIS georeferencing guidelines"/>
    <s v="Google Maps"/>
    <s v="verified by contributor"/>
    <s v="Europa | Italy | Basilicata | Policoro"/>
    <s v="Europa"/>
    <m/>
    <x v="0"/>
    <s v="ITA"/>
    <x v="4"/>
    <s v="Policoro"/>
    <s v="PreservedSpecimen"/>
    <s v="ITA/ING"/>
    <s v="MZUR"/>
    <s v="ORN2025"/>
    <m/>
    <s v="Male"/>
    <s v="MZURORN2025-144"/>
    <n v="1"/>
    <n v="1"/>
    <s v="individuals"/>
    <s v="field collection"/>
    <s v="mounted specimen"/>
    <s v="Adult"/>
    <m/>
    <s v="DSC_0888.JPG"/>
    <s v="DSC_0887.JPG"/>
  </r>
  <r>
    <s v="MZURORN2025-145"/>
    <s v="PreservedSpecimen"/>
    <d v="1959-09-17T00:00:00"/>
    <n v="260"/>
    <n v="260"/>
    <x v="2"/>
    <n v="9"/>
    <n v="17"/>
    <d v="1959-09-17T00:00:00"/>
    <s v="Linnaeus, 1766"/>
    <x v="83"/>
    <s v="Animalia|Chordata|Aves|Accipitriformes|Accipitridae|Circus"/>
    <s v="Animalia"/>
    <s v="Chordata"/>
    <s v="Aves"/>
    <s v="Accipitriformes"/>
    <s v="Accipitridae"/>
    <x v="19"/>
    <s v="cyaneus"/>
    <s v="Species"/>
    <s v="Hen harrier"/>
    <m/>
    <s v="ICZN"/>
    <m/>
    <m/>
    <s v="WGS84"/>
    <m/>
    <m/>
    <m/>
    <d v="2026-02-01T00:00:00"/>
    <s v="MaNIS georeferencing guidelines"/>
    <s v="Google Maps"/>
    <s v="verified by contributor"/>
    <s v="Europa | France | Saint-Dalmas-de-Tende"/>
    <s v="Europa"/>
    <m/>
    <x v="9"/>
    <s v="FRA"/>
    <x v="2"/>
    <s v="Saint-Dalmas-de-Tende"/>
    <s v="PreservedSpecimen"/>
    <s v="ITA/ING"/>
    <s v="MZUR"/>
    <s v="ORN2025"/>
    <m/>
    <s v="Female"/>
    <s v="MZURORN2025-145"/>
    <n v="1"/>
    <n v="1"/>
    <s v="individuals"/>
    <s v="field collection"/>
    <s v="mounted specimen"/>
    <s v="Adult"/>
    <m/>
    <s v="DSC_0890.JPG"/>
    <s v="DSC_0889.JPG"/>
  </r>
  <r>
    <s v="MZURORN2025-146"/>
    <s v="PreservedSpecimen"/>
    <d v="1958-09-25T00:00:00"/>
    <n v="268"/>
    <n v="268"/>
    <x v="19"/>
    <n v="9"/>
    <n v="25"/>
    <d v="1958-09-25T00:00:00"/>
    <s v="Linnaeus, 1758"/>
    <x v="20"/>
    <s v="Animalia|Chordata|Aves|Accipitriformes|Accipitridae|Circus"/>
    <s v="Animalia"/>
    <s v="Chordata"/>
    <s v="Aves"/>
    <s v="Accipitriformes"/>
    <s v="Accipitridae"/>
    <x v="19"/>
    <s v="aeruginosus"/>
    <s v="Species"/>
    <s v="Western marsh harrier"/>
    <m/>
    <s v="ICZN"/>
    <m/>
    <m/>
    <s v="WGS84"/>
    <m/>
    <m/>
    <m/>
    <d v="2026-02-01T00:00:00"/>
    <s v="MaNIS georeferencing guidelines"/>
    <s v="Google Maps"/>
    <s v="verified by contributor"/>
    <s v="Europa | Italy | Piedmont | Dronero"/>
    <s v="Europa"/>
    <m/>
    <x v="0"/>
    <s v="ITA"/>
    <x v="1"/>
    <s v="Dronero"/>
    <s v="PreservedSpecimen"/>
    <s v="ITA/ING"/>
    <s v="MZUR"/>
    <s v="ORN2025"/>
    <m/>
    <s v="Female"/>
    <s v="MZURORN2025-146"/>
    <n v="1"/>
    <n v="1"/>
    <s v="individuals"/>
    <s v="field collection"/>
    <s v="mounted specimen"/>
    <s v="Adult"/>
    <m/>
    <s v="DSC_0893.JPG"/>
    <s v="DSC_0892.JPG"/>
  </r>
  <r>
    <s v="MZURORN2025-147"/>
    <s v="PreservedSpecimen"/>
    <d v="1960-09-23T00:00:00"/>
    <n v="267"/>
    <n v="267"/>
    <x v="1"/>
    <n v="9"/>
    <n v="23"/>
    <d v="1960-09-23T00:00:00"/>
    <s v="Linnaeus, 1758"/>
    <x v="84"/>
    <s v="Animalia|Chordata|Aves|Accipitriformes|Accipitridae|Astur"/>
    <s v="Animalia"/>
    <s v="Chordata"/>
    <s v="Aves"/>
    <s v="Accipitriformes"/>
    <s v="Accipitridae"/>
    <x v="65"/>
    <s v="gentilis"/>
    <s v="Species"/>
    <s v="Eurasian goshawk"/>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47"/>
    <n v="1"/>
    <n v="1"/>
    <s v="individuals"/>
    <s v="field collection"/>
    <s v="mounted specimen"/>
    <s v="Juvenile"/>
    <m/>
    <s v="DSC_0895.JPG"/>
    <s v="DSC_0894.JPG"/>
  </r>
  <r>
    <s v="MZURORN2025-148"/>
    <s v="PreservedSpecimen"/>
    <d v="1958-03-08T00:00:00"/>
    <n v="67"/>
    <n v="67"/>
    <x v="19"/>
    <n v="3"/>
    <n v="8"/>
    <d v="1958-03-08T00:00:00"/>
    <s v="Linnaeus, 1758"/>
    <x v="84"/>
    <s v="Animalia|Chordata|Aves|Accipitriformes|Accipitridae|Astur"/>
    <s v="Animalia"/>
    <s v="Chordata"/>
    <s v="Aves"/>
    <s v="Accipitriformes"/>
    <s v="Accipitridae"/>
    <x v="65"/>
    <s v="gentilis"/>
    <s v="Species"/>
    <s v="Eurasian goshawk"/>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48"/>
    <n v="1"/>
    <n v="1"/>
    <s v="individuals"/>
    <s v="field collection"/>
    <s v="mounted specimen"/>
    <s v="Adult"/>
    <m/>
    <s v="DSC_0897.JPG"/>
    <s v="DSC_0896.JPG"/>
  </r>
  <r>
    <s v="MZURORN2025-149"/>
    <s v="PreservedSpecimen"/>
    <s v="05/01/1890"/>
    <s v=""/>
    <s v=""/>
    <x v="4"/>
    <s v=""/>
    <s v=""/>
    <s v="05/01/189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Lazio | Casal de' Pazzi"/>
    <s v="Europa"/>
    <m/>
    <x v="0"/>
    <s v="ITA"/>
    <x v="0"/>
    <s v="Casal de' Pazzi"/>
    <s v="PreservedSpecimen"/>
    <s v="ITA/ING"/>
    <s v="MZUR"/>
    <s v="ORN2025"/>
    <m/>
    <s v="Female"/>
    <s v="MZURORN2025-149"/>
    <n v="1"/>
    <n v="1"/>
    <s v="individuals"/>
    <s v="field collection"/>
    <s v="mounted specimen"/>
    <s v="Adult"/>
    <m/>
    <s v="DSC_0899.JPG"/>
    <s v="DSC_0898.JPG"/>
  </r>
  <r>
    <s v="MZURORN2025-150"/>
    <s v="PreservedSpecimen"/>
    <d v="1960-09-16T00:00:00"/>
    <n v="260"/>
    <n v="260"/>
    <x v="1"/>
    <n v="9"/>
    <n v="16"/>
    <d v="1960-09-16T00:00:0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Piedmont | Robilante"/>
    <s v="Europa"/>
    <m/>
    <x v="0"/>
    <s v="ITA"/>
    <x v="1"/>
    <s v="Robilante"/>
    <s v="PreservedSpecimen"/>
    <s v="ITA/ING"/>
    <s v="MZUR"/>
    <s v="ORN2025"/>
    <m/>
    <s v="Unknown"/>
    <s v="MZURORN2025-150"/>
    <n v="1"/>
    <n v="1"/>
    <s v="individuals"/>
    <s v="field collection"/>
    <s v="mounted specimen"/>
    <s v="Adult"/>
    <m/>
    <s v="DSC_0901.JPG"/>
    <s v="DSC_0900.JPG"/>
  </r>
  <r>
    <s v="MZURORN2025-151"/>
    <s v="PreservedSpecimen"/>
    <n v="1902"/>
    <n v="75"/>
    <n v="75"/>
    <x v="7"/>
    <n v="3"/>
    <n v="16"/>
    <d v="1905-03-16T00:00:00"/>
    <s v="Linnaeus, 1758"/>
    <x v="85"/>
    <s v="Animalia|Chordata|Aves|Accipitriformes|Accipitridae|Aquila"/>
    <s v="Animalia"/>
    <s v="Chordata"/>
    <s v="Aves"/>
    <s v="Accipitriformes"/>
    <s v="Accipitridae"/>
    <x v="66"/>
    <s v="chrysaetos"/>
    <s v="Species"/>
    <s v="Golden eagle"/>
    <m/>
    <s v="ICZN"/>
    <m/>
    <m/>
    <s v="WGS84"/>
    <m/>
    <m/>
    <m/>
    <d v="2026-02-01T00:00:00"/>
    <s v="MaNIS georeferencing guidelines"/>
    <s v="Google Maps"/>
    <s v="verified by contributor"/>
    <s v="Europa | Italy | Lazio | Rome"/>
    <s v="Europa"/>
    <m/>
    <x v="0"/>
    <s v="ITA"/>
    <x v="0"/>
    <s v="Rome"/>
    <s v="PreservedSpecimen"/>
    <s v="ITA/ING"/>
    <s v="MZUR"/>
    <s v="ORN2025"/>
    <m/>
    <s v="Unknown"/>
    <s v="MZURORN2025-151"/>
    <n v="1"/>
    <n v="1"/>
    <s v="individuals"/>
    <s v="field collection"/>
    <s v="mounted specimen"/>
    <s v="Adult"/>
    <m/>
    <s v="DSC_0903.JPG"/>
    <s v="DSC_0902.JPG"/>
  </r>
  <r>
    <s v="MZURORN2025-152"/>
    <s v="PreservedSpecimen"/>
    <n v="1898"/>
    <n v="71"/>
    <n v="71"/>
    <x v="34"/>
    <n v="3"/>
    <n v="12"/>
    <d v="1905-03-12T00:00:00"/>
    <s v="Linnaeus, 1758"/>
    <x v="30"/>
    <s v="Animalia|Chordata|Aves|Strigiformes|Strigidae|Bubo"/>
    <s v="Animalia"/>
    <s v="Chordata"/>
    <s v="Aves"/>
    <s v="Strigiformes"/>
    <s v="Strigidae"/>
    <x v="29"/>
    <s v="bubo"/>
    <s v="Species"/>
    <s v="Eurasian eagle-owl"/>
    <m/>
    <s v="ICZN"/>
    <m/>
    <m/>
    <s v="WGS84"/>
    <m/>
    <m/>
    <m/>
    <d v="2026-02-01T00:00:00"/>
    <s v="MaNIS georeferencing guidelines"/>
    <s v="Google Maps"/>
    <s v="verified by contributor"/>
    <s v="Europa | Italy | Lazio | Rome"/>
    <s v="Europa"/>
    <m/>
    <x v="0"/>
    <s v="ITA"/>
    <x v="0"/>
    <s v="Rome"/>
    <s v="PreservedSpecimen"/>
    <s v="ITA/ING"/>
    <s v="MZUR"/>
    <s v="ORN2025"/>
    <m/>
    <s v="Male"/>
    <s v="MZURORN2025-152"/>
    <n v="1"/>
    <n v="1"/>
    <s v="individuals"/>
    <s v="field collection"/>
    <s v="mounted specimen"/>
    <s v="Adult"/>
    <m/>
    <s v="DSC_0905.JPG"/>
    <s v="DSC_0904.JPG"/>
  </r>
  <r>
    <s v="MZURORN2025-153"/>
    <s v="PreservedSpecimen"/>
    <d v="1958-09-09T00:00:00"/>
    <n v="252"/>
    <n v="252"/>
    <x v="19"/>
    <n v="9"/>
    <n v="9"/>
    <d v="1958-09-09T00:00:00"/>
    <s v="Linnaeus, 1758"/>
    <x v="86"/>
    <s v="Animalia|Chordata|Aves|Caprimulgiformes|Caprimulgidae|Caprimulgus"/>
    <s v="Animalia"/>
    <s v="Chordata"/>
    <s v="Aves"/>
    <s v="Caprimulgiformes"/>
    <s v="Caprimulgidae"/>
    <x v="67"/>
    <s v="europaeus"/>
    <s v="Species"/>
    <s v="European nightja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53"/>
    <n v="1"/>
    <n v="1"/>
    <s v="individuals"/>
    <s v="field collection"/>
    <s v="mounted specimen"/>
    <s v="Adult"/>
    <m/>
    <s v="DSC_0907.JPG"/>
    <s v="DSC_0906.JPG"/>
  </r>
  <r>
    <s v="MZURORN2025-154"/>
    <s v="PreservedSpecimen"/>
    <d v="1958-04-28T00:00:00"/>
    <n v="118"/>
    <n v="118"/>
    <x v="19"/>
    <n v="4"/>
    <n v="28"/>
    <d v="1958-04-28T00:00:00"/>
    <s v="Linnaeus, 1758"/>
    <x v="86"/>
    <s v="Animalia|Chordata|Aves|Caprimulgiformes|Caprimulgidae|Caprimulgus"/>
    <s v="Animalia"/>
    <s v="Chordata"/>
    <s v="Aves"/>
    <s v="Caprimulgiformes"/>
    <s v="Caprimulgidae"/>
    <x v="67"/>
    <s v="europaeus"/>
    <s v="Species"/>
    <s v="European nightjar"/>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54"/>
    <n v="1"/>
    <n v="1"/>
    <s v="individuals"/>
    <s v="field collection"/>
    <s v="mounted specimen"/>
    <s v="Adult"/>
    <m/>
    <s v="DSC_0909.JPG"/>
    <s v="DSC_0908.JPG"/>
  </r>
  <r>
    <s v="MZURORN2025-155"/>
    <s v="PreservedSpecimen"/>
    <n v="1901"/>
    <n v="74"/>
    <n v="74"/>
    <x v="27"/>
    <n v="3"/>
    <n v="15"/>
    <d v="1905-03-15T00:00:00"/>
    <s v="Linnaeus, 1758"/>
    <x v="86"/>
    <s v="Animalia|Chordata|Aves|Caprimulgiformes|Caprimulgidae|Caprimulgus"/>
    <s v="Animalia"/>
    <s v="Chordata"/>
    <s v="Aves"/>
    <s v="Caprimulgiformes"/>
    <s v="Caprimulgidae"/>
    <x v="67"/>
    <s v="europaeus"/>
    <s v="Species"/>
    <s v="European nightjar"/>
    <m/>
    <s v="ICZN"/>
    <m/>
    <m/>
    <s v="WGS84"/>
    <m/>
    <m/>
    <m/>
    <d v="2026-02-01T00:00:00"/>
    <s v="MaNIS georeferencing guidelines"/>
    <s v="Google Maps"/>
    <s v="verified by contributor"/>
    <s v="Europa | Italy | Lazio | Castelporziano"/>
    <s v="Europa"/>
    <m/>
    <x v="0"/>
    <s v="ITA"/>
    <x v="0"/>
    <s v="Castelporziano"/>
    <s v="PreservedSpecimen"/>
    <s v="ITA/ING"/>
    <s v="MZUR"/>
    <s v="ORN2025"/>
    <m/>
    <s v="Female"/>
    <s v="MZURORN2025-155"/>
    <n v="1"/>
    <n v="1"/>
    <s v="individuals"/>
    <s v="field collection"/>
    <s v="mounted specimen"/>
    <s v="Adult"/>
    <m/>
    <s v="DSC_0911.JPG"/>
    <s v="DSC_0910.JPG"/>
  </r>
  <r>
    <s v="MZURORN2025-156"/>
    <s v="PreservedSpecimen"/>
    <d v="1960-09-08T00:00:00"/>
    <n v="252"/>
    <n v="252"/>
    <x v="1"/>
    <n v="9"/>
    <n v="8"/>
    <d v="1960-09-08T00:00:00"/>
    <s v="Linnaeus, 1758"/>
    <x v="87"/>
    <s v="Animalia|Chordata|Aves|Cuculiformes|Cuculidae|Cuculus"/>
    <s v="Animalia"/>
    <s v="Chordata"/>
    <s v="Aves"/>
    <s v="Cuculiformes"/>
    <s v="Cuculidae"/>
    <x v="68"/>
    <s v="canorus"/>
    <s v="Species"/>
    <s v="Common cuckoo"/>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56"/>
    <n v="1"/>
    <n v="1"/>
    <s v="individuals"/>
    <s v="field collection"/>
    <s v="mounted specimen"/>
    <s v="Juvenile"/>
    <m/>
    <s v="DSC_0913.JPG"/>
    <s v="DSC_0912.JPG"/>
  </r>
  <r>
    <s v="MZURORN2025-157"/>
    <s v="PreservedSpecimen"/>
    <s v="n.a."/>
    <s v=""/>
    <s v=""/>
    <x v="4"/>
    <s v=""/>
    <s v=""/>
    <s v="n.a."/>
    <s v="Linnaeus, 1758"/>
    <x v="87"/>
    <s v="Animalia|Chordata|Aves|Cuculiformes|Cuculidae|Cuculus"/>
    <s v="Animalia"/>
    <s v="Chordata"/>
    <s v="Aves"/>
    <s v="Cuculiformes"/>
    <s v="Cuculidae"/>
    <x v="68"/>
    <s v="canorus"/>
    <s v="Species"/>
    <s v="Common cuckoo"/>
    <m/>
    <s v="ICZN"/>
    <m/>
    <m/>
    <s v="WGS84"/>
    <m/>
    <m/>
    <m/>
    <d v="2026-02-01T00:00:00"/>
    <s v="MaNIS georeferencing guidelines"/>
    <s v="Google Maps"/>
    <s v="verified by contributor"/>
    <s v="n.a."/>
    <m/>
    <m/>
    <x v="1"/>
    <s v=""/>
    <x v="2"/>
    <s v="n.a."/>
    <s v="PreservedSpecimen"/>
    <s v="ITA/ING"/>
    <s v="MZUR"/>
    <s v="ORN2025"/>
    <m/>
    <s v="Unknown"/>
    <s v="MZURORN2025-157"/>
    <n v="1"/>
    <n v="1"/>
    <s v="individuals"/>
    <s v="field collection"/>
    <s v="mounted specimen"/>
    <s v="Adult"/>
    <m/>
    <s v="DSC_0915.JPG"/>
    <s v="DSC_0914.JPG"/>
  </r>
  <r>
    <s v="MZURORN2025-158"/>
    <s v="PreservedSpecimen"/>
    <n v="1891"/>
    <n v="64"/>
    <n v="64"/>
    <x v="35"/>
    <n v="3"/>
    <n v="5"/>
    <d v="1905-03-05T00:00:00"/>
    <s v="Linnaeus, 1758"/>
    <x v="87"/>
    <s v="Animalia|Chordata|Aves|Cuculiformes|Cuculidae|Cuculus"/>
    <s v="Animalia"/>
    <s v="Chordata"/>
    <s v="Aves"/>
    <s v="Cuculiformes"/>
    <s v="Cuculidae"/>
    <x v="68"/>
    <s v="canorus"/>
    <s v="Species"/>
    <s v="Common cuckoo"/>
    <m/>
    <s v="ICZN"/>
    <m/>
    <m/>
    <s v="WGS84"/>
    <m/>
    <m/>
    <m/>
    <d v="2026-02-01T00:00:00"/>
    <s v="MaNIS georeferencing guidelines"/>
    <s v="Google Maps"/>
    <s v="verified by contributor"/>
    <s v="Europa | Italy | Lazio | Furbara"/>
    <s v="Europa"/>
    <m/>
    <x v="0"/>
    <s v="ITA"/>
    <x v="0"/>
    <s v="Furbara"/>
    <s v="PreservedSpecimen"/>
    <s v="ITA/ING"/>
    <s v="MZUR"/>
    <s v="ORN2025"/>
    <m/>
    <s v="Female"/>
    <s v="MZURORN2025-158"/>
    <n v="1"/>
    <n v="1"/>
    <s v="individuals"/>
    <s v="field collection"/>
    <s v="mounted specimen"/>
    <s v="Adult"/>
    <m/>
    <s v="DSC_0917.JPG"/>
    <s v="DSC_0916.JPG"/>
  </r>
  <r>
    <s v="MZURORN2025-159"/>
    <s v="PreservedSpecimen"/>
    <s v="n.a."/>
    <s v=""/>
    <s v=""/>
    <x v="4"/>
    <s v=""/>
    <s v=""/>
    <s v="n.a."/>
    <s v="Linnaeus, 1758"/>
    <x v="88"/>
    <s v="Animalia|Chordata|Aves|Columbiformes|Columbidae|Streptopelia"/>
    <s v="Animalia"/>
    <s v="Chordata"/>
    <s v="Aves"/>
    <s v="Columbiformes"/>
    <s v="Columbidae"/>
    <x v="69"/>
    <s v="turtur"/>
    <s v="Species"/>
    <s v="European turtle dove"/>
    <m/>
    <s v="ICZN"/>
    <m/>
    <m/>
    <s v="WGS84"/>
    <m/>
    <m/>
    <m/>
    <d v="2026-02-01T00:00:00"/>
    <s v="MaNIS georeferencing guidelines"/>
    <s v="Google Maps"/>
    <s v="verified by contributor"/>
    <s v="n.a."/>
    <m/>
    <m/>
    <x v="1"/>
    <s v=""/>
    <x v="2"/>
    <s v="n.a."/>
    <s v="PreservedSpecimen"/>
    <s v="ITA/ING"/>
    <s v="MZUR"/>
    <s v="ORN2025"/>
    <m/>
    <s v="Unknown"/>
    <s v="MZURORN2025-159"/>
    <n v="1"/>
    <n v="1"/>
    <s v="individuals"/>
    <s v="field collection"/>
    <s v="mounted specimen"/>
    <s v="Adult"/>
    <m/>
    <s v="DSC_0919.JPG"/>
    <s v="DSC_0918.JPG"/>
  </r>
  <r>
    <s v="MZURORN2025-160"/>
    <s v="PreservedSpecimen"/>
    <n v="1895"/>
    <n v="68"/>
    <n v="68"/>
    <x v="24"/>
    <n v="3"/>
    <n v="9"/>
    <d v="1905-03-09T00:00:00"/>
    <s v="Linnaeus, 1758"/>
    <x v="88"/>
    <s v="Animalia|Chordata|Aves|Columbiformes|Columbidae|Streptopelia"/>
    <s v="Animalia"/>
    <s v="Chordata"/>
    <s v="Aves"/>
    <s v="Columbiformes"/>
    <s v="Columbidae"/>
    <x v="69"/>
    <s v="turtur"/>
    <s v="Species"/>
    <s v="European turtle dove"/>
    <m/>
    <s v="ICZN"/>
    <m/>
    <m/>
    <s v="WGS84"/>
    <m/>
    <m/>
    <m/>
    <d v="2026-02-01T00:00:00"/>
    <s v="MaNIS georeferencing guidelines"/>
    <s v="Google Maps"/>
    <s v="verified by contributor"/>
    <s v="Europa | Italy | Lazio | Rome"/>
    <s v="Europa"/>
    <m/>
    <x v="0"/>
    <s v="ITA"/>
    <x v="0"/>
    <s v="Rome"/>
    <s v="PreservedSpecimen"/>
    <s v="ITA/ING"/>
    <s v="MZUR"/>
    <s v="ORN2025"/>
    <m/>
    <s v="Male"/>
    <s v="MZURORN2025-160"/>
    <n v="1"/>
    <n v="1"/>
    <s v="individuals"/>
    <s v="field collection"/>
    <s v="mounted specimen"/>
    <s v="Adult"/>
    <m/>
    <s v="DSC_0921.JPG"/>
    <s v="DSC_0920.JPG"/>
  </r>
  <r>
    <s v="MZURORN2025-161"/>
    <s v="PreservedSpecimen"/>
    <s v="n.a."/>
    <s v=""/>
    <s v=""/>
    <x v="4"/>
    <s v=""/>
    <s v=""/>
    <s v="n.a."/>
    <s v="Linnaeus, 1758"/>
    <x v="89"/>
    <s v="Animalia|Chordata|Aves|Columbiformes|Columbidae|Columba"/>
    <s v="Animalia"/>
    <s v="Chordata"/>
    <s v="Aves"/>
    <s v="Columbiformes"/>
    <s v="Columbidae"/>
    <x v="70"/>
    <s v="palumbus"/>
    <s v="Species"/>
    <s v="Common wood pigeon"/>
    <m/>
    <s v="ICZN"/>
    <m/>
    <m/>
    <s v="WGS84"/>
    <m/>
    <m/>
    <m/>
    <d v="2026-02-01T00:00:00"/>
    <s v="MaNIS georeferencing guidelines"/>
    <s v="Google Maps"/>
    <s v="verified by contributor"/>
    <s v="Europa | Italy | Lazio | Rome"/>
    <s v="Europa"/>
    <m/>
    <x v="0"/>
    <s v="ITA"/>
    <x v="0"/>
    <s v="Rome"/>
    <s v="PreservedSpecimen"/>
    <s v="ITA/ING"/>
    <s v="MZUR"/>
    <s v="ORN2025"/>
    <m/>
    <s v="Unknown"/>
    <s v="MZURORN2025-161"/>
    <n v="1"/>
    <n v="1"/>
    <s v="individuals"/>
    <s v="field collection"/>
    <s v="mounted specimen"/>
    <s v="Adult"/>
    <m/>
    <s v="DSC_0923.JPG"/>
    <s v="DSC_0922.JPG"/>
  </r>
  <r>
    <s v="MZURORN2025-162"/>
    <s v="PreservedSpecimen"/>
    <n v="1897"/>
    <n v="70"/>
    <n v="70"/>
    <x v="36"/>
    <n v="3"/>
    <n v="11"/>
    <d v="1905-03-11T00:00:00"/>
    <s v="Pallas, 1764"/>
    <x v="90"/>
    <s v="Animalia|Chordata|Aves|Charadriiformes|Laridae|Sternula"/>
    <s v="Animalia"/>
    <s v="Chordata"/>
    <s v="Aves"/>
    <s v="Charadriiformes"/>
    <s v="Laridae"/>
    <x v="71"/>
    <s v="albifrons"/>
    <s v="Species"/>
    <s v="Little tern"/>
    <m/>
    <s v="ICZN"/>
    <m/>
    <m/>
    <s v="WGS84"/>
    <m/>
    <m/>
    <m/>
    <d v="2026-02-01T00:00:00"/>
    <s v="MaNIS georeferencing guidelines"/>
    <s v="Google Maps"/>
    <s v="verified by contributor"/>
    <s v="Europa | Italy | Lazio | Fiumicino"/>
    <s v="Europa"/>
    <m/>
    <x v="0"/>
    <s v="ITA"/>
    <x v="0"/>
    <s v="Fiumicino"/>
    <s v="PreservedSpecimen"/>
    <s v="ITA/ING"/>
    <s v="MZUR"/>
    <s v="ORN2025"/>
    <m/>
    <s v="Male"/>
    <s v="MZURORN2025-162"/>
    <n v="1"/>
    <n v="1"/>
    <s v="individuals"/>
    <s v="field collection"/>
    <s v="mounted specimen"/>
    <s v="Adult"/>
    <m/>
    <s v="DSC_0925.JPG"/>
    <s v="DSC_0924.JPG"/>
  </r>
  <r>
    <s v="MZURORN2025-163"/>
    <s v="PreservedSpecimen"/>
    <s v="n.a."/>
    <s v=""/>
    <s v=""/>
    <x v="4"/>
    <s v=""/>
    <s v=""/>
    <s v="n.a."/>
    <s v="Linnaeus, 1758"/>
    <x v="89"/>
    <s v="Animalia|Chordata|Aves|Columbiformes|Columbidae|Columba"/>
    <s v="Animalia"/>
    <s v="Chordata"/>
    <s v="Aves"/>
    <s v="Columbiformes"/>
    <s v="Columbidae"/>
    <x v="70"/>
    <s v="palumbus"/>
    <s v="Species"/>
    <s v="Common wood pigeon"/>
    <m/>
    <s v="ICZN"/>
    <m/>
    <m/>
    <s v="WGS84"/>
    <m/>
    <m/>
    <m/>
    <d v="2026-02-01T00:00:00"/>
    <s v="MaNIS georeferencing guidelines"/>
    <s v="Google Maps"/>
    <s v="verified by contributor"/>
    <s v="Europa | Italy | Lazio | Castelporziano"/>
    <s v="Europa"/>
    <m/>
    <x v="0"/>
    <s v="ITA"/>
    <x v="0"/>
    <s v="Castelporziano"/>
    <s v="PreservedSpecimen"/>
    <s v="ITA/ING"/>
    <s v="MZUR"/>
    <s v="ORN2025"/>
    <m/>
    <s v="Unknown"/>
    <s v="MZURORN2025-163"/>
    <n v="1"/>
    <n v="1"/>
    <s v="individuals"/>
    <s v="field collection"/>
    <s v="mounted specimen"/>
    <s v="Adult"/>
    <m/>
    <s v="DSC_0927.JPG"/>
    <s v="DSC_0926.JPG"/>
  </r>
  <r>
    <s v="MZURORN2025-164"/>
    <s v="PreservedSpecimen"/>
    <d v="1960-09-20T00:00:00"/>
    <n v="264"/>
    <n v="264"/>
    <x v="1"/>
    <n v="9"/>
    <n v="20"/>
    <d v="1960-09-20T00:00:00"/>
    <s v="Linnaeus, 1758"/>
    <x v="91"/>
    <s v="Animalia|Chordata|Aves|Charadriiformes|Laridae|Chlidonias"/>
    <s v="Animalia"/>
    <s v="Chordata"/>
    <s v="Aves"/>
    <s v="Charadriiformes"/>
    <s v="Laridae"/>
    <x v="72"/>
    <s v="niger"/>
    <s v="Species"/>
    <s v="Black tern"/>
    <m/>
    <s v="ICZN"/>
    <m/>
    <m/>
    <s v="WGS84"/>
    <m/>
    <m/>
    <m/>
    <d v="2026-02-01T00:00:00"/>
    <s v="MaNIS georeferencing guidelines"/>
    <s v="Google Maps"/>
    <s v="verified by contributor"/>
    <s v="Europa | Italy | Piedmont | Pietraporzio"/>
    <s v="Europa"/>
    <m/>
    <x v="0"/>
    <s v="ITA"/>
    <x v="1"/>
    <s v="Pietraporzio"/>
    <s v="PreservedSpecimen"/>
    <s v="ITA/ING"/>
    <s v="MZUR"/>
    <s v="ORN2025"/>
    <m/>
    <s v="Unknown"/>
    <s v="MZURORN2025-164"/>
    <n v="1"/>
    <n v="1"/>
    <s v="individuals"/>
    <s v="field collection"/>
    <s v="mounted specimen"/>
    <s v="Adult"/>
    <m/>
    <s v="DSC_0929.JPG"/>
    <s v="DSC_0928.JPG"/>
  </r>
  <r>
    <s v="MZURORN2025-165"/>
    <s v="PreservedSpecimen"/>
    <d v="1960-05-11T00:00:00"/>
    <n v="132"/>
    <n v="132"/>
    <x v="1"/>
    <n v="5"/>
    <n v="11"/>
    <d v="1960-05-11T00:00:00"/>
    <s v="Linnaeus, 1758"/>
    <x v="91"/>
    <s v="Animalia|Chordata|Aves|Charadriiformes|Laridae|Chlidonias"/>
    <s v="Animalia"/>
    <s v="Chordata"/>
    <s v="Aves"/>
    <s v="Charadriiformes"/>
    <s v="Laridae"/>
    <x v="72"/>
    <s v="niger"/>
    <s v="Species"/>
    <s v="Black tern"/>
    <m/>
    <s v="ICZN"/>
    <m/>
    <m/>
    <s v="WGS84"/>
    <m/>
    <m/>
    <m/>
    <d v="2026-02-01T00:00:00"/>
    <s v="MaNIS georeferencing guidelines"/>
    <s v="Google Maps"/>
    <s v="verified by contributor"/>
    <s v="Europa | Italy | Veneto | Chioggia"/>
    <s v="Europa"/>
    <m/>
    <x v="0"/>
    <s v="ITA"/>
    <x v="3"/>
    <s v="Chioggia"/>
    <s v="PreservedSpecimen"/>
    <s v="ITA/ING"/>
    <s v="MZUR"/>
    <s v="ORN2025"/>
    <m/>
    <s v="Unknown"/>
    <s v="MZURORN2025-165"/>
    <n v="1"/>
    <n v="1"/>
    <s v="individuals"/>
    <s v="field collection"/>
    <s v="mounted specimen"/>
    <s v="Adult"/>
    <m/>
    <s v="DSC_0931.JPG"/>
    <s v="DSC_0930.JPG"/>
  </r>
  <r>
    <s v="MZURORN2025-166"/>
    <s v="PreservedSpecimen"/>
    <n v="1897"/>
    <n v="70"/>
    <n v="70"/>
    <x v="36"/>
    <n v="3"/>
    <n v="11"/>
    <d v="1905-03-11T00:00:00"/>
    <s v="Linnaeus, 1766"/>
    <x v="92"/>
    <s v="Animalia|Chordata|Aves|Charadriiformes|Laridae|Chroicocephalus"/>
    <s v="Animalia"/>
    <s v="Chordata"/>
    <s v="Aves"/>
    <s v="Charadriiformes"/>
    <s v="Laridae"/>
    <x v="73"/>
    <s v="ridibundus"/>
    <s v="Species"/>
    <s v="Black-headed gull"/>
    <m/>
    <s v="ICZN"/>
    <m/>
    <m/>
    <s v="WGS84"/>
    <m/>
    <m/>
    <m/>
    <d v="2026-02-01T00:00:00"/>
    <s v="MaNIS georeferencing guidelines"/>
    <s v="Google Maps"/>
    <s v="verified by contributor"/>
    <s v="Europa | Italy | Lazio | Rome"/>
    <s v="Europa"/>
    <m/>
    <x v="0"/>
    <s v="ITA"/>
    <x v="0"/>
    <s v="Rome"/>
    <s v="PreservedSpecimen"/>
    <s v="ITA/ING"/>
    <s v="MZUR"/>
    <s v="ORN2025"/>
    <m/>
    <s v="Unknown"/>
    <s v="MZURORN2025-166"/>
    <n v="1"/>
    <n v="1"/>
    <s v="individuals"/>
    <s v="field collection"/>
    <s v="mounted specimen"/>
    <s v="Adult"/>
    <m/>
    <s v="DSC_0933.JPG"/>
    <s v="DSC_0932.JPG"/>
  </r>
  <r>
    <s v="MZURORN2025-167"/>
    <s v="PreservedSpecimen"/>
    <d v="1959-04-10T00:00:00"/>
    <n v="100"/>
    <n v="100"/>
    <x v="2"/>
    <n v="4"/>
    <n v="10"/>
    <d v="1959-04-10T00:00:00"/>
    <s v="Pallas, 1776"/>
    <x v="93"/>
    <s v="Animalia|Chordata|Aves|Charadriiformes|Laridae|Hydrocoloeus"/>
    <s v="Animalia"/>
    <s v="Chordata"/>
    <s v="Aves"/>
    <s v="Charadriiformes"/>
    <s v="Laridae"/>
    <x v="74"/>
    <s v="minutus"/>
    <s v="Species"/>
    <s v="Little gull"/>
    <m/>
    <s v="ICZN"/>
    <m/>
    <m/>
    <s v="WGS84"/>
    <m/>
    <m/>
    <m/>
    <d v="2026-02-01T00:00:00"/>
    <s v="MaNIS georeferencing guidelines"/>
    <s v="Google Maps"/>
    <s v="verified by contributor"/>
    <s v="Europa | Italy | Veneto | Jesolo"/>
    <s v="Europa"/>
    <m/>
    <x v="0"/>
    <s v="ITA"/>
    <x v="3"/>
    <s v="Jesolo"/>
    <s v="PreservedSpecimen"/>
    <s v="ITA/ING"/>
    <s v="MZUR"/>
    <s v="ORN2025"/>
    <m/>
    <s v="Male"/>
    <s v="MZURORN2025-167"/>
    <n v="1"/>
    <n v="1"/>
    <s v="individuals"/>
    <s v="field collection"/>
    <s v="mounted specimen"/>
    <s v="Adult"/>
    <m/>
    <s v="DSC_0935.JPG"/>
    <s v="DSC_0934.JPG"/>
  </r>
  <r>
    <s v="MZURORN2025-168"/>
    <s v="PreservedSpecimen"/>
    <n v="1921"/>
    <n v="94"/>
    <n v="94"/>
    <x v="37"/>
    <n v="4"/>
    <n v="4"/>
    <d v="1905-04-04T00:00:00"/>
    <s v="Linnaeus, 1758"/>
    <x v="94"/>
    <s v="Animalia|Chordata|Aves|Charadriiformes|Laridae|Rissa"/>
    <s v="Animalia"/>
    <s v="Chordata"/>
    <s v="Aves"/>
    <s v="Charadriiformes"/>
    <s v="Laridae"/>
    <x v="75"/>
    <s v="tridactyla"/>
    <s v="Species"/>
    <s v="Black-legged kittiwake"/>
    <m/>
    <s v="ICZN"/>
    <m/>
    <m/>
    <s v="WGS84"/>
    <m/>
    <m/>
    <m/>
    <d v="2026-02-01T00:00:00"/>
    <s v="MaNIS georeferencing guidelines"/>
    <s v="Google Maps"/>
    <s v="verified by contributor"/>
    <s v="Europa | Italy | Lazio | Nettuno"/>
    <s v="Europa"/>
    <m/>
    <x v="0"/>
    <s v="ITA"/>
    <x v="0"/>
    <s v="Nettuno"/>
    <s v="PreservedSpecimen"/>
    <s v="ITA/ING"/>
    <s v="MZUR"/>
    <s v="ORN2025"/>
    <m/>
    <s v="Male"/>
    <s v="MZURORN2025-168"/>
    <n v="1"/>
    <n v="1"/>
    <s v="individuals"/>
    <s v="field collection"/>
    <s v="mounted specimen"/>
    <s v="Adult"/>
    <m/>
    <s v="DSC_0937.JPG"/>
    <s v="DSC_0936.JPG"/>
  </r>
  <r>
    <s v="MZURORN2025-169"/>
    <s v="PreservedSpecimen"/>
    <s v="02/02/1895"/>
    <s v=""/>
    <s v=""/>
    <x v="4"/>
    <s v=""/>
    <s v=""/>
    <s v="02/02/1895"/>
    <s v="Temminck, 1820"/>
    <x v="95"/>
    <s v="Animalia|Chordata|Aves|Charadriiformes|Laridae|Ichthyaetus"/>
    <s v="Animalia"/>
    <s v="Chordata"/>
    <s v="Aves"/>
    <s v="Charadriiformes"/>
    <s v="Laridae"/>
    <x v="76"/>
    <s v="melanocephalus"/>
    <s v="Species"/>
    <s v="Mediterranean gull"/>
    <m/>
    <s v="ICZN"/>
    <m/>
    <m/>
    <s v="WGS84"/>
    <m/>
    <m/>
    <m/>
    <d v="2026-02-01T00:00:00"/>
    <s v="MaNIS georeferencing guidelines"/>
    <s v="Google Maps"/>
    <s v="verified by contributor"/>
    <s v="Europa | Italy | Lazio | Fiumicino"/>
    <s v="Europa"/>
    <m/>
    <x v="0"/>
    <s v="ITA"/>
    <x v="0"/>
    <s v="Fiumicino"/>
    <s v="PreservedSpecimen"/>
    <s v="ITA/ING"/>
    <s v="MZUR"/>
    <s v="ORN2025"/>
    <m/>
    <s v="Male"/>
    <s v="MZURORN2025-169"/>
    <n v="1"/>
    <n v="1"/>
    <s v="individuals"/>
    <s v="field collection"/>
    <s v="mounted specimen"/>
    <s v="Adult"/>
    <m/>
    <s v="DSC_0939.JPG"/>
    <s v="DSC_0938.JPG"/>
  </r>
  <r>
    <s v="MZURORN2025-170"/>
    <s v="PreservedSpecimen"/>
    <d v="1960-09-18T00:00:00"/>
    <n v="262"/>
    <n v="262"/>
    <x v="1"/>
    <n v="9"/>
    <n v="18"/>
    <d v="1960-09-18T00:00:00"/>
    <s v="Linnaeus, 1758"/>
    <x v="32"/>
    <s v="Animalia|Chordata|Aves|Strigiformes|Strigidae|Otus"/>
    <s v="Animalia"/>
    <s v="Chordata"/>
    <s v="Aves"/>
    <s v="Strigiformes"/>
    <s v="Strigidae"/>
    <x v="31"/>
    <s v="scops"/>
    <s v="Species"/>
    <s v="Eurasian scops owl"/>
    <m/>
    <s v="ICZN"/>
    <m/>
    <m/>
    <s v="WGS84"/>
    <m/>
    <m/>
    <m/>
    <d v="2026-02-01T00:00:00"/>
    <s v="MaNIS georeferencing guidelines"/>
    <s v="Google Maps"/>
    <s v="verified by contributor"/>
    <s v="Europa | Italy | Piedmont | Pietraporzio"/>
    <s v="Europa"/>
    <m/>
    <x v="0"/>
    <s v="ITA"/>
    <x v="1"/>
    <s v="Pietraporzio"/>
    <s v="PreservedSpecimen"/>
    <s v="ITA/ING"/>
    <s v="MZUR"/>
    <s v="ORN2025"/>
    <m/>
    <s v="Female"/>
    <s v="MZURORN2025-170"/>
    <n v="1"/>
    <n v="1"/>
    <s v="individuals"/>
    <s v="field collection"/>
    <s v="mounted specimen"/>
    <s v="Adult"/>
    <m/>
    <s v="DSC_0941.JPG"/>
    <s v="DSC_0940.JPG"/>
  </r>
  <r>
    <s v="MZURORN2025-171"/>
    <s v="PreservedSpecimen"/>
    <s v="n.a."/>
    <s v=""/>
    <s v=""/>
    <x v="4"/>
    <s v=""/>
    <s v=""/>
    <s v="n.a."/>
    <s v="Scopoli, 1769"/>
    <x v="96"/>
    <s v="Animalia|Chordata|Aves|Strigiformes|Tytonidae|Tyto"/>
    <s v="Animalia"/>
    <s v="Chordata"/>
    <s v="Aves"/>
    <s v="Strigiformes"/>
    <s v="Tytonidae"/>
    <x v="77"/>
    <s v="alba"/>
    <s v="Species"/>
    <s v="Western barn owl"/>
    <m/>
    <s v="ICZN"/>
    <m/>
    <m/>
    <s v="WGS84"/>
    <m/>
    <m/>
    <m/>
    <d v="2026-02-01T00:00:00"/>
    <s v="MaNIS georeferencing guidelines"/>
    <s v="Google Maps"/>
    <s v="verified by contributor"/>
    <s v="n.a."/>
    <m/>
    <m/>
    <x v="1"/>
    <s v=""/>
    <x v="2"/>
    <s v="n.a."/>
    <s v="PreservedSpecimen"/>
    <s v="ITA/ING"/>
    <s v="MZUR"/>
    <s v="ORN2025"/>
    <m/>
    <s v="Unknown"/>
    <s v="MZURORN2025-171"/>
    <n v="1"/>
    <n v="1"/>
    <s v="individuals"/>
    <s v="field collection"/>
    <s v="mounted specimen"/>
    <s v="Adult"/>
    <m/>
    <s v="DSC_0943.JPG"/>
    <s v="DSC_0942.JPG"/>
  </r>
  <r>
    <s v="MZURORN2025-172"/>
    <s v="PreservedSpecimen"/>
    <d v="1961-10-25T00:00:00"/>
    <n v="298"/>
    <n v="298"/>
    <x v="15"/>
    <n v="10"/>
    <n v="25"/>
    <d v="1961-10-25T00:00:00"/>
    <s v="Linnaeus, 1758"/>
    <x v="31"/>
    <s v="Animalia|Chordata|Aves|Strigiformes|Strigidae|Strix"/>
    <s v="Animalia"/>
    <s v="Chordata"/>
    <s v="Aves"/>
    <s v="Strigiformes"/>
    <s v="Strigidae"/>
    <x v="30"/>
    <s v="aluco"/>
    <s v="Species"/>
    <s v="Tawny owl"/>
    <m/>
    <s v="ICZN"/>
    <m/>
    <m/>
    <s v="WGS84"/>
    <m/>
    <m/>
    <m/>
    <d v="2026-02-01T00:00:00"/>
    <s v="MaNIS georeferencing guidelines"/>
    <s v="Google Maps"/>
    <s v="verified by contributor"/>
    <s v="Europa | Italy | Piedmont | Andonno"/>
    <s v="Europa"/>
    <m/>
    <x v="0"/>
    <s v="ITA"/>
    <x v="1"/>
    <s v="Andonno"/>
    <s v="PreservedSpecimen"/>
    <s v="ITA/ING"/>
    <s v="MZUR"/>
    <s v="ORN2025"/>
    <m/>
    <s v="Female"/>
    <s v="MZURORN2025-172"/>
    <n v="1"/>
    <n v="1"/>
    <s v="individuals"/>
    <s v="field collection"/>
    <s v="mounted specimen"/>
    <s v="Adult"/>
    <m/>
    <s v="DSC_0945.JPG"/>
    <s v="DSC_0944.JPG"/>
  </r>
  <r>
    <s v="MZURORN2025-173"/>
    <s v="PreservedSpecimen"/>
    <d v="1958-04-05T00:00:00"/>
    <n v="95"/>
    <n v="95"/>
    <x v="19"/>
    <n v="4"/>
    <n v="5"/>
    <d v="1958-04-05T00:00:00"/>
    <s v="Linnaeus, 1758"/>
    <x v="31"/>
    <s v="Animalia|Chordata|Aves|Strigiformes|Strigidae|Strix"/>
    <s v="Animalia"/>
    <s v="Chordata"/>
    <s v="Aves"/>
    <s v="Strigiformes"/>
    <s v="Strigidae"/>
    <x v="30"/>
    <s v="aluco"/>
    <s v="Species"/>
    <s v="Tawny owl"/>
    <m/>
    <s v="ICZN"/>
    <m/>
    <m/>
    <s v="WGS84"/>
    <m/>
    <m/>
    <m/>
    <d v="2026-02-01T00:00:00"/>
    <s v="MaNIS georeferencing guidelines"/>
    <s v="Google Maps"/>
    <s v="verified by contributor"/>
    <s v="Europa | Italy | Piedmont | Bernezzo"/>
    <s v="Europa"/>
    <m/>
    <x v="0"/>
    <s v="ITA"/>
    <x v="1"/>
    <s v="Bernezzo"/>
    <s v="PreservedSpecimen"/>
    <s v="ITA/ING"/>
    <s v="MZUR"/>
    <s v="ORN2025"/>
    <m/>
    <s v="Female"/>
    <s v="MZURORN2025-173"/>
    <n v="1"/>
    <n v="1"/>
    <s v="individuals"/>
    <s v="field collection"/>
    <s v="mounted specimen"/>
    <s v="Adult"/>
    <m/>
    <s v="DSC_0947.JPG"/>
    <s v="DSC_0946.JPG"/>
  </r>
  <r>
    <s v="MZURORN2025-174"/>
    <s v="PreservedSpecimen"/>
    <d v="1959-09-07T00:00:00"/>
    <n v="250"/>
    <n v="250"/>
    <x v="2"/>
    <n v="9"/>
    <n v="7"/>
    <d v="1959-09-07T00:00:00"/>
    <s v="Linnaeus, 1758"/>
    <x v="97"/>
    <s v="Animalia|Chordata|Aves|Strigiformes|Strigidae|Glaucidium"/>
    <s v="Animalia"/>
    <s v="Chordata"/>
    <s v="Aves"/>
    <s v="Strigiformes"/>
    <s v="Strigidae"/>
    <x v="78"/>
    <s v="passerinum"/>
    <s v="Species"/>
    <s v="Eurasian pygmy owl"/>
    <m/>
    <s v="ICZN"/>
    <m/>
    <m/>
    <s v="WGS84"/>
    <m/>
    <m/>
    <m/>
    <d v="2026-02-01T00:00:00"/>
    <s v="MaNIS georeferencing guidelines"/>
    <s v="Google Maps"/>
    <s v="verified by contributor"/>
    <s v="n.a."/>
    <m/>
    <m/>
    <x v="1"/>
    <s v=""/>
    <x v="2"/>
    <s v="n.a."/>
    <s v="PreservedSpecimen"/>
    <s v="ITA/ING"/>
    <s v="MZUR"/>
    <s v="ORN2025"/>
    <m/>
    <s v="Unknown"/>
    <s v="MZURORN2025-174"/>
    <n v="1"/>
    <n v="1"/>
    <s v="individuals"/>
    <s v="field collection"/>
    <s v="mounted specimen"/>
    <s v="Adult"/>
    <m/>
    <s v="DSC_0949.JPG"/>
    <s v="DSC_0948.JPG"/>
  </r>
  <r>
    <s v="MZURORN2025-175"/>
    <s v="PreservedSpecimen"/>
    <d v="1959-01-25T00:00:00"/>
    <n v="25"/>
    <n v="25"/>
    <x v="2"/>
    <n v="1"/>
    <n v="25"/>
    <d v="1959-01-25T00:00:00"/>
    <s v="Scopoli, 1769"/>
    <x v="29"/>
    <s v="Animalia|Chordata|Aves|Strigiformes|Strigidae|Athene"/>
    <s v="Animalia"/>
    <s v="Chordata"/>
    <s v="Aves"/>
    <s v="Strigiformes"/>
    <s v="Strigidae"/>
    <x v="28"/>
    <s v="noctua"/>
    <s v="Species"/>
    <s v="Little owl"/>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175"/>
    <n v="1"/>
    <n v="1"/>
    <s v="individuals"/>
    <s v="field collection"/>
    <s v="mounted specimen"/>
    <s v="Adult"/>
    <m/>
    <s v="DSC_0951.JPG"/>
    <s v="DSC_0950.JPG"/>
  </r>
  <r>
    <s v="MZURORN2025-176"/>
    <s v="PreservedSpecimen"/>
    <d v="1959-12-04T00:00:00"/>
    <n v="338"/>
    <n v="338"/>
    <x v="2"/>
    <n v="12"/>
    <n v="4"/>
    <d v="1959-12-04T00:00:00"/>
    <s v="Pontoppidan, 1763"/>
    <x v="98"/>
    <s v="Animalia|Chordata|Aves|Strigiformes|Strigidae|Asio"/>
    <s v="Animalia"/>
    <s v="Chordata"/>
    <s v="Aves"/>
    <s v="Strigiformes"/>
    <s v="Strigidae"/>
    <x v="79"/>
    <s v="flammeus"/>
    <s v="Species"/>
    <s v="Short-eared owl"/>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76"/>
    <n v="1"/>
    <n v="1"/>
    <s v="individuals"/>
    <s v="field collection"/>
    <s v="mounted specimen"/>
    <s v="Adult"/>
    <m/>
    <s v="DSC_0953.JPG"/>
    <s v="DSC_0952.JPG"/>
  </r>
  <r>
    <s v="MZURORN2025-177"/>
    <s v="PreservedSpecimen"/>
    <d v="1961-10-21T00:00:00"/>
    <n v="294"/>
    <n v="294"/>
    <x v="15"/>
    <n v="10"/>
    <n v="21"/>
    <d v="1961-10-21T00:00:00"/>
    <s v="Pontoppidan, 1763"/>
    <x v="98"/>
    <s v="Animalia|Chordata|Aves|Strigiformes|Strigidae|Asio"/>
    <s v="Animalia"/>
    <s v="Chordata"/>
    <s v="Aves"/>
    <s v="Strigiformes"/>
    <s v="Strigidae"/>
    <x v="79"/>
    <s v="flammeus"/>
    <s v="Species"/>
    <s v="Short-eared owl"/>
    <m/>
    <s v="ICZN"/>
    <m/>
    <m/>
    <s v="WGS84"/>
    <m/>
    <m/>
    <m/>
    <d v="2026-02-01T00:00:00"/>
    <s v="MaNIS georeferencing guidelines"/>
    <s v="Google Maps"/>
    <s v="verified by contributor"/>
    <s v="Europa | Italy | Piedmont | Limone Piemonte"/>
    <s v="Europa"/>
    <m/>
    <x v="0"/>
    <s v="ITA"/>
    <x v="1"/>
    <s v="Limone Piemonte"/>
    <s v="PreservedSpecimen"/>
    <s v="ITA/ING"/>
    <s v="MZUR"/>
    <s v="ORN2025"/>
    <m/>
    <s v="Female"/>
    <s v="MZURORN2025-177"/>
    <n v="1"/>
    <n v="1"/>
    <s v="individuals"/>
    <s v="field collection"/>
    <s v="mounted specimen"/>
    <s v="Adult"/>
    <m/>
    <s v="DSC_0955.JPG"/>
    <s v="DSC_0954.JPG"/>
  </r>
  <r>
    <s v="MZURORN2025-178"/>
    <s v="PreservedSpecimen"/>
    <s v="n.a."/>
    <s v=""/>
    <s v=""/>
    <x v="4"/>
    <s v=""/>
    <s v=""/>
    <s v="n.a."/>
    <s v="Linnaeus, 1758"/>
    <x v="99"/>
    <s v="Animalia|Chordata|Aves|Strigiformes|Strigidae|Asio"/>
    <s v="Animalia"/>
    <s v="Chordata"/>
    <s v="Aves"/>
    <s v="Strigiformes"/>
    <s v="Strigidae"/>
    <x v="79"/>
    <s v="otus"/>
    <s v="Species"/>
    <s v="Long-eared owl"/>
    <m/>
    <s v="ICZN"/>
    <m/>
    <m/>
    <s v="WGS84"/>
    <m/>
    <m/>
    <m/>
    <d v="2026-02-01T00:00:00"/>
    <s v="MaNIS georeferencing guidelines"/>
    <s v="Google Maps"/>
    <s v="verified by contributor"/>
    <s v="Europa | Italy | Piedmont | Pietraporzio"/>
    <s v="Europa"/>
    <m/>
    <x v="0"/>
    <s v="ITA"/>
    <x v="1"/>
    <s v="Pietraporzio"/>
    <s v="PreservedSpecimen"/>
    <s v="ITA/ING"/>
    <s v="MZUR"/>
    <s v="ORN2025"/>
    <m/>
    <s v="Female"/>
    <s v="MZURORN2025-178"/>
    <n v="1"/>
    <n v="1"/>
    <s v="individuals"/>
    <s v="field collection"/>
    <s v="mounted specimen"/>
    <s v="Adult"/>
    <m/>
    <s v="DSC_0957.JPG"/>
    <s v="DSC_0956.JPG"/>
  </r>
  <r>
    <s v="MZURORN2025-179"/>
    <s v="PreservedSpecimen"/>
    <n v="1905"/>
    <n v="78"/>
    <n v="78"/>
    <x v="38"/>
    <n v="3"/>
    <n v="19"/>
    <d v="1905-03-19T00:00:00"/>
    <s v="Linnaeus, 1758"/>
    <x v="100"/>
    <s v="Animalia|Chordata|Aves|Apodiformes|Apodidae|Apus"/>
    <s v="Animalia"/>
    <s v="Chordata"/>
    <s v="Aves"/>
    <s v="Apodiformes"/>
    <s v="Apodidae"/>
    <x v="80"/>
    <s v="apus"/>
    <s v="Species"/>
    <s v="Common swift"/>
    <m/>
    <s v="ICZN"/>
    <m/>
    <m/>
    <s v="WGS84"/>
    <m/>
    <m/>
    <m/>
    <d v="2026-02-01T00:00:00"/>
    <s v="MaNIS georeferencing guidelines"/>
    <s v="Google Maps"/>
    <s v="verified by contributor"/>
    <s v="Europa | Italy | Lazio | Rome"/>
    <s v="Europa"/>
    <m/>
    <x v="0"/>
    <s v="ITA"/>
    <x v="0"/>
    <s v="Rome"/>
    <s v="PreservedSpecimen"/>
    <s v="ITA/ING"/>
    <s v="MZUR"/>
    <s v="ORN2025"/>
    <m/>
    <s v="Male"/>
    <s v="MZURORN2025-179"/>
    <n v="1"/>
    <n v="1"/>
    <s v="individuals"/>
    <s v="field collection"/>
    <s v="mounted specimen"/>
    <s v="Adult"/>
    <m/>
    <s v="DSC_0959.JPG"/>
    <s v="DSC_0958.JPG"/>
  </r>
  <r>
    <s v="MZURORN2025-180"/>
    <s v="PreservedSpecimen"/>
    <s v="n.a."/>
    <s v=""/>
    <s v=""/>
    <x v="4"/>
    <s v=""/>
    <s v=""/>
    <s v="n.a."/>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n.a."/>
    <m/>
    <m/>
    <x v="1"/>
    <s v=""/>
    <x v="2"/>
    <s v="n.a."/>
    <s v="PreservedSpecimen"/>
    <s v="ITA/ING"/>
    <s v="MZUR"/>
    <s v="ORN2025"/>
    <m/>
    <s v="Unknown"/>
    <s v="MZURORN2025-180"/>
    <n v="1"/>
    <n v="1"/>
    <s v="individuals"/>
    <s v="field collection"/>
    <s v="mounted specimen"/>
    <s v="Adult"/>
    <m/>
    <s v="DSC_0961.JPG"/>
    <s v="DSC_0960.JPG"/>
  </r>
  <r>
    <s v="MZURORN2025-181"/>
    <s v="PreservedSpecimen"/>
    <n v="1886"/>
    <n v="59"/>
    <n v="59"/>
    <x v="13"/>
    <n v="2"/>
    <n v="28"/>
    <d v="1905-02-28T00:00:00"/>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Europa | Italy | Lazio | Rome"/>
    <s v="Europa"/>
    <m/>
    <x v="0"/>
    <s v="ITA"/>
    <x v="0"/>
    <s v="Rome"/>
    <s v="PreservedSpecimen"/>
    <s v="ITA/ING"/>
    <s v="MZUR"/>
    <s v="ORN2025"/>
    <m/>
    <s v="Male"/>
    <s v="MZURORN2025-181"/>
    <n v="1"/>
    <n v="1"/>
    <s v="individuals"/>
    <s v="field collection"/>
    <s v="mounted specimen"/>
    <s v="Adult"/>
    <m/>
    <s v="DSC_0963.JPG"/>
    <s v="DSC_0962.JPG"/>
  </r>
  <r>
    <s v="MZURORN2025-182"/>
    <s v="PreservedSpecimen"/>
    <d v="1957-08-21T00:00:00"/>
    <n v="233"/>
    <n v="233"/>
    <x v="10"/>
    <n v="8"/>
    <n v="21"/>
    <d v="1957-08-21T00:00:00"/>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82"/>
    <n v="1"/>
    <n v="1"/>
    <s v="individuals"/>
    <s v="field collection"/>
    <s v="mounted specimen"/>
    <s v="Juvenile"/>
    <m/>
    <s v="DSC_0965.JPG"/>
    <s v="DSC_0964.JPG"/>
  </r>
  <r>
    <s v="MZURORN2025-183"/>
    <s v="PreservedSpecimen"/>
    <n v="1901"/>
    <n v="74"/>
    <n v="74"/>
    <x v="27"/>
    <n v="3"/>
    <n v="15"/>
    <d v="1905-03-15T00:00:00"/>
    <s v="Linnaeus, 1758"/>
    <x v="102"/>
    <s v="Animalia|Chordata|Aves|Coraciiformes|Coraciidae|Coracias"/>
    <s v="Animalia"/>
    <s v="Chordata"/>
    <s v="Aves"/>
    <s v="Coraciiformes"/>
    <s v="Coraciidae"/>
    <x v="82"/>
    <s v="garrulus"/>
    <s v="Species"/>
    <s v="European roller"/>
    <m/>
    <s v="ICZN"/>
    <m/>
    <m/>
    <s v="WGS84"/>
    <m/>
    <m/>
    <m/>
    <d v="2026-02-01T00:00:00"/>
    <s v="MaNIS georeferencing guidelines"/>
    <s v="Google Maps"/>
    <s v="verified by contributor"/>
    <s v="Europa | Italy | Lazio | Castelporziano"/>
    <s v="Europa"/>
    <m/>
    <x v="0"/>
    <s v="ITA"/>
    <x v="0"/>
    <s v="Castelporziano"/>
    <s v="PreservedSpecimen"/>
    <s v="ITA/ING"/>
    <s v="MZUR"/>
    <s v="ORN2025"/>
    <m/>
    <s v="Male"/>
    <s v="MZURORN2025-183"/>
    <n v="1"/>
    <n v="1"/>
    <s v="individuals"/>
    <s v="field collection"/>
    <s v="mounted specimen"/>
    <s v="Adult"/>
    <m/>
    <s v="DSC_0967.JPG"/>
    <s v="DSC_0966.JPG"/>
  </r>
  <r>
    <s v="MZURORN2025-184"/>
    <s v="PreservedSpecimen"/>
    <n v="1946"/>
    <n v="119"/>
    <n v="119"/>
    <x v="39"/>
    <n v="4"/>
    <n v="29"/>
    <d v="1905-04-29T00:00:00"/>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Europa | Italy | Lazio | Rome"/>
    <s v="Europa"/>
    <m/>
    <x v="0"/>
    <s v="ITA"/>
    <x v="0"/>
    <s v="Rome"/>
    <s v="PreservedSpecimen"/>
    <s v="ITA/ING"/>
    <s v="MZUR"/>
    <s v="ORN2025"/>
    <m/>
    <s v="Unknown"/>
    <s v="MZURORN2025-184"/>
    <n v="1"/>
    <n v="1"/>
    <s v="individuals"/>
    <s v="field collection"/>
    <s v="mounted specimen"/>
    <s v="Adult"/>
    <m/>
    <s v="DSC_0969.JPG"/>
    <s v="DSC_0968.JPG"/>
  </r>
  <r>
    <s v="MZURORN2025-185"/>
    <s v="PreservedSpecimen"/>
    <n v="1892"/>
    <n v="65"/>
    <n v="65"/>
    <x v="32"/>
    <n v="3"/>
    <n v="6"/>
    <d v="1905-03-06T00:00:00"/>
    <s v="Linnaeus, 1758"/>
    <x v="103"/>
    <s v="Animalia|Chordata|Aves|Coraciiformes|Meropidae|Merops"/>
    <s v="Animalia"/>
    <s v="Chordata"/>
    <s v="Aves"/>
    <s v="Coraciiformes"/>
    <s v="Meropidae"/>
    <x v="83"/>
    <s v="apiaster"/>
    <s v="Species"/>
    <s v="European bee-eater"/>
    <m/>
    <s v="ICZN"/>
    <m/>
    <m/>
    <s v="WGS84"/>
    <m/>
    <m/>
    <m/>
    <d v="2026-02-01T00:00:00"/>
    <s v="MaNIS georeferencing guidelines"/>
    <s v="Google Maps"/>
    <s v="verified by contributor"/>
    <s v="Europa | Italy | Lazio | Ager Romanus"/>
    <s v="Europa"/>
    <m/>
    <x v="0"/>
    <s v="ITA"/>
    <x v="0"/>
    <s v="Ager Romanus"/>
    <s v="PreservedSpecimen"/>
    <s v="ITA/ING"/>
    <s v="MZUR"/>
    <s v="ORN2025"/>
    <m/>
    <s v="Unknown"/>
    <s v="MZURORN2025-185"/>
    <n v="1"/>
    <n v="1"/>
    <s v="individuals"/>
    <s v="field collection"/>
    <s v="mounted specimen"/>
    <s v="Adult"/>
    <m/>
    <s v="DSC_0972.JPG"/>
    <s v="DSC_0970.JPG"/>
  </r>
  <r>
    <s v="MZURORN2025-186"/>
    <s v="PreservedSpecimen"/>
    <s v="n.a."/>
    <s v=""/>
    <s v=""/>
    <x v="4"/>
    <s v=""/>
    <s v=""/>
    <s v="n.a."/>
    <s v="Linnaeus, 1758"/>
    <x v="104"/>
    <s v="Animalia|Chordata|Aves|Coraciiformes|Alcedinidae|Alcedo"/>
    <s v="Animalia"/>
    <s v="Chordata"/>
    <s v="Aves"/>
    <s v="Coraciiformes"/>
    <s v="Alcedinidae"/>
    <x v="84"/>
    <s v="atthis"/>
    <s v="Species"/>
    <s v="Common kingfisher"/>
    <m/>
    <s v="ICZN"/>
    <m/>
    <m/>
    <s v="WGS84"/>
    <m/>
    <m/>
    <m/>
    <d v="2026-02-01T00:00:00"/>
    <s v="MaNIS georeferencing guidelines"/>
    <s v="Google Maps"/>
    <s v="verified by contributor"/>
    <s v=""/>
    <m/>
    <m/>
    <x v="1"/>
    <s v=""/>
    <x v="2"/>
    <m/>
    <s v="PreservedSpecimen"/>
    <s v="ITA/ING"/>
    <s v="MZUR"/>
    <s v="ORN2025"/>
    <m/>
    <s v="Unknown"/>
    <s v="MZURORN2025-186"/>
    <n v="1"/>
    <n v="1"/>
    <s v="individuals"/>
    <s v="field collection"/>
    <s v="mounted specimen"/>
    <s v="Adult"/>
    <m/>
    <s v="DSC_0974.JPG"/>
    <s v="DSC_0973.JPG"/>
  </r>
  <r>
    <s v="MZURORN2025-187"/>
    <s v="PreservedSpecimen"/>
    <d v="1958-09-16T00:00:00"/>
    <n v="259"/>
    <n v="259"/>
    <x v="19"/>
    <n v="9"/>
    <n v="16"/>
    <d v="1958-09-16T00:00:00"/>
    <s v="Linnaeus, 1758"/>
    <x v="104"/>
    <s v="Animalia|Chordata|Aves|Coraciiformes|Alcedinidae|Alcedo"/>
    <s v="Animalia"/>
    <s v="Chordata"/>
    <s v="Aves"/>
    <s v="Coraciiformes"/>
    <s v="Alcedinidae"/>
    <x v="84"/>
    <s v="atthis"/>
    <s v="Species"/>
    <s v="Common kingfisher"/>
    <m/>
    <s v="ICZN"/>
    <m/>
    <m/>
    <s v="WGS84"/>
    <m/>
    <m/>
    <m/>
    <d v="2026-02-01T00:00:00"/>
    <s v="MaNIS georeferencing guidelines"/>
    <s v="Google Maps"/>
    <s v="verified by contributor"/>
    <s v="Europa | Italy | Piedmont | Cuneo"/>
    <s v="Europa"/>
    <m/>
    <x v="0"/>
    <s v="ITA"/>
    <x v="1"/>
    <s v="Cuneo"/>
    <s v="PreservedSpecimen"/>
    <s v="ITA/ING"/>
    <s v="MZUR"/>
    <s v="ORN2025"/>
    <m/>
    <s v="Female"/>
    <s v="MZURORN2025-187"/>
    <n v="1"/>
    <n v="1"/>
    <s v="individuals"/>
    <s v="field collection"/>
    <s v="mounted specimen"/>
    <s v="Adult"/>
    <m/>
    <s v="DSC_0976.JPG"/>
    <s v="DSC_0975.JPG"/>
  </r>
  <r>
    <s v="MZURORN2025-188"/>
    <s v="PreservedSpecimen"/>
    <d v="1959-09-13T00:00:00"/>
    <n v="256"/>
    <n v="256"/>
    <x v="2"/>
    <n v="9"/>
    <n v="13"/>
    <d v="1959-09-13T00:00:00"/>
    <s v="Linnaeus, 1758"/>
    <x v="105"/>
    <s v="Animalia|Chordata|Aves|Passeriformes|Muscicapidae|Phoenicurus"/>
    <s v="Animalia"/>
    <s v="Chordata"/>
    <s v="Aves"/>
    <s v="Passeriformes"/>
    <s v="Muscicapidae"/>
    <x v="85"/>
    <s v="phoenicurus"/>
    <s v="Species"/>
    <s v="Common redstar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88"/>
    <n v="1"/>
    <n v="1"/>
    <s v="individuals"/>
    <s v="field collection"/>
    <s v="mounted specimen"/>
    <s v="Juvenile"/>
    <m/>
    <s v="DSC_0978.JPG"/>
    <s v="DSC_0977.JPG"/>
  </r>
  <r>
    <s v="MZURORN2025-189"/>
    <s v="PreservedSpecimen"/>
    <d v="1960-01-31T00:00:00"/>
    <n v="31"/>
    <n v="31"/>
    <x v="1"/>
    <n v="1"/>
    <n v="31"/>
    <d v="1960-01-31T00:00:00"/>
    <s v="Linnaeus, 1758"/>
    <x v="15"/>
    <s v="Animalia|Chordata|Aves|Passeriformes|Muscicapidae|Erithacus"/>
    <s v="Animalia"/>
    <s v="Chordata"/>
    <s v="Aves"/>
    <s v="Passeriformes"/>
    <s v="Muscicapidae"/>
    <x v="14"/>
    <s v="rubecula"/>
    <s v="Species"/>
    <s v="European robin"/>
    <m/>
    <s v="ICZN"/>
    <m/>
    <m/>
    <s v="WGS84"/>
    <m/>
    <m/>
    <m/>
    <d v="2026-02-01T00:00:00"/>
    <s v="MaNIS georeferencing guidelines"/>
    <s v="Google Maps"/>
    <s v="verified by contributor"/>
    <s v="Europa | Italy | Lazio | Sambuci"/>
    <s v="Europa"/>
    <m/>
    <x v="0"/>
    <s v="ITA"/>
    <x v="0"/>
    <s v="Sambuci"/>
    <s v="PreservedSpecimen"/>
    <s v="ITA/ING"/>
    <s v="MZUR"/>
    <s v="ORN2025"/>
    <m/>
    <s v="Male"/>
    <s v="MZURORN2025-189"/>
    <n v="1"/>
    <n v="1"/>
    <s v="individuals"/>
    <s v="field collection"/>
    <s v="mounted specimen"/>
    <s v="Adult"/>
    <m/>
    <s v="DSC_0980.JPG"/>
    <s v="DSC_0979.JPG"/>
  </r>
  <r>
    <s v="MZURORN2025-190"/>
    <s v="PreservedSpecimen"/>
    <d v="1958-04-18T00:00:00"/>
    <n v="108"/>
    <n v="108"/>
    <x v="19"/>
    <n v="4"/>
    <n v="18"/>
    <d v="1958-04-18T00:00:00"/>
    <s v="Gmelin, 1774"/>
    <x v="106"/>
    <s v="Animalia|Chordata|Aves|Passeriformes|Muscicapidae|Phoenicurus"/>
    <s v="Animalia"/>
    <s v="Chordata"/>
    <s v="Aves"/>
    <s v="Passeriformes"/>
    <s v="Muscicapidae"/>
    <x v="85"/>
    <s v="ochruros"/>
    <s v="Species"/>
    <s v="Black redstart"/>
    <m/>
    <s v="ICZN"/>
    <m/>
    <m/>
    <s v="WGS84"/>
    <m/>
    <m/>
    <m/>
    <d v="2026-02-01T00:00:00"/>
    <s v="MaNIS georeferencing guidelines"/>
    <s v="Google Maps"/>
    <s v="verified by contributor"/>
    <s v="Europa | Italy | Piedmont | Andonno"/>
    <s v="Europa"/>
    <m/>
    <x v="0"/>
    <s v="ITA"/>
    <x v="1"/>
    <s v="Andonno"/>
    <s v="PreservedSpecimen"/>
    <s v="ITA/ING"/>
    <s v="MZUR"/>
    <s v="ORN2025"/>
    <m/>
    <s v="Male"/>
    <s v="MZURORN2025-190"/>
    <n v="1"/>
    <n v="1"/>
    <s v="individuals"/>
    <s v="field collection"/>
    <s v="mounted specimen"/>
    <s v="Adult"/>
    <m/>
    <s v="DSC_0982.JPG"/>
    <s v="DSC_0981.JPG"/>
  </r>
  <r>
    <s v="MZURORN2025-191"/>
    <s v="PreservedSpecimen"/>
    <d v="1959-09-20T00:00:00"/>
    <n v="263"/>
    <n v="263"/>
    <x v="2"/>
    <n v="9"/>
    <n v="20"/>
    <d v="1959-09-20T00:00:00"/>
    <s v="Linnaeus, 1758"/>
    <x v="105"/>
    <s v="Animalia|Chordata|Aves|Passeriformes|Muscicapidae|Phoenicurus"/>
    <s v="Animalia"/>
    <s v="Chordata"/>
    <s v="Aves"/>
    <s v="Passeriformes"/>
    <s v="Muscicapidae"/>
    <x v="85"/>
    <s v="phoenicurus"/>
    <s v="Species"/>
    <s v="Common redstar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91"/>
    <n v="1"/>
    <n v="1"/>
    <s v="individuals"/>
    <s v="field collection"/>
    <s v="mounted specimen"/>
    <s v="Juvenile"/>
    <m/>
    <s v="DSC_0984.JPG"/>
    <s v="DSC_0983.JPG"/>
  </r>
  <r>
    <s v="MZURORN2025-192"/>
    <s v="PreservedSpecimen"/>
    <d v="1959-09-13T00:00:00"/>
    <n v="256"/>
    <n v="256"/>
    <x v="2"/>
    <n v="9"/>
    <n v="13"/>
    <d v="1959-09-13T00:00:00"/>
    <s v="Brehm, 1831"/>
    <x v="107"/>
    <s v="Animalia|Chordata|Aves|Passeriformes|Muscicapidae|Luscinia"/>
    <s v="Animalia"/>
    <s v="Chordata"/>
    <s v="Aves"/>
    <s v="Passeriformes"/>
    <s v="Muscicapidae"/>
    <x v="86"/>
    <s v="megarhynchos"/>
    <s v="Species"/>
    <s v="Common nightingal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92"/>
    <n v="1"/>
    <n v="1"/>
    <s v="individuals"/>
    <s v="field collection"/>
    <s v="mounted specimen"/>
    <s v="Juvenile"/>
    <m/>
    <s v="DSC_0986.JPG"/>
    <s v="DSC_0985.JPG"/>
  </r>
  <r>
    <s v="MZURORN2025-193"/>
    <s v="PreservedSpecimen"/>
    <d v="1957-03-16T00:00:00"/>
    <n v="75"/>
    <n v="75"/>
    <x v="10"/>
    <n v="3"/>
    <n v="16"/>
    <d v="1957-03-16T00:00:00"/>
    <s v="Linnaeus, 1758"/>
    <x v="105"/>
    <s v="Animalia|Chordata|Aves|Passeriformes|Muscicapidae|Phoenicurus"/>
    <s v="Animalia"/>
    <s v="Chordata"/>
    <s v="Aves"/>
    <s v="Passeriformes"/>
    <s v="Muscicapidae"/>
    <x v="85"/>
    <s v="phoenicurus"/>
    <s v="Species"/>
    <s v="Common redstart"/>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93"/>
    <n v="1"/>
    <n v="1"/>
    <s v="individuals"/>
    <s v="field collection"/>
    <s v="mounted specimen"/>
    <s v="Adult"/>
    <m/>
    <s v="DSC_0988.JPG"/>
    <s v="DSC_0987.JPG"/>
  </r>
  <r>
    <s v="MZURORN2025-194"/>
    <s v="PreservedSpecimen"/>
    <d v="1957-01-12T00:00:00"/>
    <n v="12"/>
    <n v="12"/>
    <x v="10"/>
    <n v="1"/>
    <n v="12"/>
    <d v="1957-01-12T00:00:00"/>
    <s v="Linnaeus, 1758"/>
    <x v="108"/>
    <s v="Animalia|Chordata|Aves|Passeriformes|Troglodytidae|Troglodytes"/>
    <s v="Animalia"/>
    <s v="Chordata"/>
    <s v="Aves"/>
    <s v="Passeriformes"/>
    <s v="Troglodytidae"/>
    <x v="87"/>
    <s v="troglodytes"/>
    <s v="Species"/>
    <s v="Eurasian wren"/>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94"/>
    <n v="1"/>
    <n v="1"/>
    <s v="individuals"/>
    <s v="field collection"/>
    <s v="mounted specimen"/>
    <s v="Adult"/>
    <m/>
    <s v="DSC_0990.JPG"/>
    <s v="DSC_0989.JPG"/>
  </r>
  <r>
    <s v="MZURORN2025-195"/>
    <s v="PreservedSpecimen"/>
    <d v="1956-02-01T00:00:00"/>
    <n v="32"/>
    <n v="32"/>
    <x v="14"/>
    <n v="2"/>
    <n v="1"/>
    <d v="1956-02-01T00:00:00"/>
    <s v="Linnaeus, 1758"/>
    <x v="108"/>
    <s v="Animalia|Chordata|Aves|Passeriformes|Troglodytidae|Troglodytes"/>
    <s v="Animalia"/>
    <s v="Chordata"/>
    <s v="Aves"/>
    <s v="Passeriformes"/>
    <s v="Troglodytidae"/>
    <x v="87"/>
    <s v="troglodytes"/>
    <s v="Species"/>
    <s v="Eurasian wren"/>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195"/>
    <n v="1"/>
    <n v="1"/>
    <s v="individuals"/>
    <s v="field collection"/>
    <s v="mounted specimen"/>
    <s v="Adult"/>
    <m/>
    <s v="DSC_0992.JPG"/>
    <s v="DSC_0991.JPG"/>
  </r>
  <r>
    <s v="MZURORN2025-196"/>
    <s v="PreservedSpecimen"/>
    <d v="1956-11-15T00:00:00"/>
    <n v="320"/>
    <n v="320"/>
    <x v="14"/>
    <n v="11"/>
    <n v="15"/>
    <d v="1956-11-15T00:00:00"/>
    <s v="Linnaeus, 1758"/>
    <x v="109"/>
    <s v="Animalia|Chordata|Aves|Passeriformes|Cinclidae|Cinclus"/>
    <s v="Animalia"/>
    <s v="Chordata"/>
    <s v="Aves"/>
    <s v="Passeriformes"/>
    <s v="Cinclidae"/>
    <x v="88"/>
    <s v="cinclus"/>
    <s v="Species"/>
    <s v="White-throated dipp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96"/>
    <n v="1"/>
    <n v="1"/>
    <s v="individuals"/>
    <s v="field collection"/>
    <s v="mounted specimen"/>
    <s v="Adult"/>
    <m/>
    <s v="DSC_0994.JPG"/>
    <s v="DSC_0993.JPG"/>
  </r>
  <r>
    <s v="MZURORN2025-197"/>
    <s v="PreservedSpecimen"/>
    <d v="1961-08-31T00:00:00"/>
    <n v="243"/>
    <n v="243"/>
    <x v="15"/>
    <n v="8"/>
    <n v="31"/>
    <d v="1961-08-31T00:00:00"/>
    <s v="Linnaeus, 1758"/>
    <x v="109"/>
    <s v="Animalia|Chordata|Aves|Passeriformes|Cinclidae|Cinclus"/>
    <s v="Animalia"/>
    <s v="Chordata"/>
    <s v="Aves"/>
    <s v="Passeriformes"/>
    <s v="Cinclidae"/>
    <x v="88"/>
    <s v="cinclus"/>
    <s v="Species"/>
    <s v="White-throated dipper"/>
    <m/>
    <s v="ICZN"/>
    <m/>
    <m/>
    <s v="WGS84"/>
    <m/>
    <m/>
    <m/>
    <d v="2026-02-01T00:00:00"/>
    <s v="MaNIS georeferencing guidelines"/>
    <s v="Google Maps"/>
    <s v="verified by contributor"/>
    <s v="Europa | Italy | Piedmont | Cuneo"/>
    <s v="Europa"/>
    <m/>
    <x v="0"/>
    <s v="ITA"/>
    <x v="1"/>
    <s v="Cuneo"/>
    <s v="PreservedSpecimen"/>
    <s v="ITA/ING"/>
    <s v="MZUR"/>
    <s v="ORN2025"/>
    <m/>
    <s v="Female"/>
    <s v="MZURORN2025-197"/>
    <n v="1"/>
    <n v="1"/>
    <s v="individuals"/>
    <s v="field collection"/>
    <s v="mounted specimen"/>
    <s v="Adult"/>
    <m/>
    <s v="DSC_0996.JPG"/>
    <s v="DSC_0995.JPG"/>
  </r>
  <r>
    <s v="MZURORN2025-198"/>
    <s v="PreservedSpecimen"/>
    <s v="n.a."/>
    <s v=""/>
    <s v=""/>
    <x v="4"/>
    <s v=""/>
    <s v=""/>
    <s v="n.a."/>
    <s v="Linnaeus, 1758"/>
    <x v="110"/>
    <s v="Animalia|Chordata|Aves|Passeriformes|Prunellidae|Prunella"/>
    <s v="Animalia"/>
    <s v="Chordata"/>
    <s v="Aves"/>
    <s v="Passeriformes"/>
    <s v="Prunellidae"/>
    <x v="89"/>
    <s v="modularis"/>
    <s v="Species"/>
    <s v="Dunnock"/>
    <m/>
    <s v="ICZN"/>
    <m/>
    <m/>
    <s v="WGS84"/>
    <m/>
    <m/>
    <m/>
    <d v="2026-02-01T00:00:00"/>
    <s v="MaNIS georeferencing guidelines"/>
    <s v="Google Maps"/>
    <s v="verified by contributor"/>
    <s v="n.a."/>
    <m/>
    <m/>
    <x v="1"/>
    <s v=""/>
    <x v="2"/>
    <s v="n.a."/>
    <s v="PreservedSpecimen"/>
    <s v="ITA/ING"/>
    <s v="MZUR"/>
    <s v="ORN2025"/>
    <m/>
    <s v="Unknown"/>
    <s v="MZURORN2025-198"/>
    <n v="1"/>
    <n v="1"/>
    <s v="individuals"/>
    <s v="field collection"/>
    <s v="mounted specimen"/>
    <s v="Adult"/>
    <m/>
    <s v="DSC_0998.JPG"/>
    <s v="DSC_0997.JPG"/>
  </r>
  <r>
    <s v="MZURORN2025-199"/>
    <s v="PreservedSpecimen"/>
    <s v="n.a."/>
    <s v=""/>
    <s v=""/>
    <x v="4"/>
    <s v=""/>
    <s v=""/>
    <s v="n.a."/>
    <s v="Linnaeus, 1758"/>
    <x v="111"/>
    <s v="Animalia|Chordata|Aves|Passeriformes|Motacillidae|Monticola"/>
    <s v="Animalia"/>
    <s v="Chordata"/>
    <s v="Aves"/>
    <s v="Passeriformes"/>
    <s v="Motacillidae"/>
    <x v="90"/>
    <s v="alba"/>
    <s v="Species"/>
    <s v="White wagtail"/>
    <m/>
    <s v="ICZN"/>
    <m/>
    <m/>
    <s v="WGS84"/>
    <m/>
    <m/>
    <m/>
    <d v="2026-02-01T00:00:00"/>
    <s v="MaNIS georeferencing guidelines"/>
    <s v="Google Maps"/>
    <s v="verified by contributor"/>
    <s v="n.a."/>
    <m/>
    <m/>
    <x v="1"/>
    <s v=""/>
    <x v="2"/>
    <s v="n.a."/>
    <s v="PreservedSpecimen"/>
    <s v="ITA/ING"/>
    <s v="MZUR"/>
    <s v="ORN2025"/>
    <m/>
    <s v="Unknown"/>
    <s v="MZURORN2025-199"/>
    <n v="1"/>
    <n v="1"/>
    <s v="individuals"/>
    <s v="field collection"/>
    <s v="mounted specimen"/>
    <s v="Adult"/>
    <m/>
    <s v="DSC_1000.JPG"/>
    <s v="DSC_0999.JPG"/>
  </r>
  <r>
    <s v="MZURORN2025-200"/>
    <s v="PreservedSpecimen"/>
    <s v="n.a."/>
    <s v=""/>
    <s v=""/>
    <x v="4"/>
    <s v=""/>
    <s v=""/>
    <s v="n.a."/>
    <s v="Tunstall, 1771"/>
    <x v="112"/>
    <s v="Animalia|Chordata|Aves|Passeriformes|Motacillidae|Monticola"/>
    <s v="Animalia"/>
    <s v="Chordata"/>
    <s v="Aves"/>
    <s v="Passeriformes"/>
    <s v="Motacillidae"/>
    <x v="90"/>
    <s v="cinerea"/>
    <s v="Species"/>
    <s v="Grey wagtail"/>
    <m/>
    <s v="ICZN"/>
    <m/>
    <m/>
    <s v="WGS84"/>
    <m/>
    <m/>
    <m/>
    <d v="2026-02-01T00:00:00"/>
    <s v="MaNIS georeferencing guidelines"/>
    <s v="Google Maps"/>
    <s v="verified by contributor"/>
    <s v="Europa | Italy | Lazio | Rome"/>
    <s v="Europa"/>
    <m/>
    <x v="0"/>
    <s v="ITA"/>
    <x v="0"/>
    <s v="Rome"/>
    <s v="PreservedSpecimen"/>
    <s v="ITA/ING"/>
    <s v="MZUR"/>
    <s v="ORN2025"/>
    <m/>
    <s v="Unknown"/>
    <s v="MZURORN2025-200"/>
    <n v="1"/>
    <n v="1"/>
    <s v="individuals"/>
    <s v="field collection"/>
    <s v="mounted specimen"/>
    <s v="Adult"/>
    <m/>
    <s v="DSC_1002.JPG"/>
    <s v="DSC_1001.JPG"/>
  </r>
  <r>
    <s v="MZURORN2025-201"/>
    <s v="PreservedSpecimen"/>
    <d v="1955-10-10T00:00:00"/>
    <n v="283"/>
    <n v="283"/>
    <x v="40"/>
    <n v="10"/>
    <n v="10"/>
    <d v="1955-10-10T00:00:00"/>
    <s v="Linnaeus, 1758"/>
    <x v="111"/>
    <s v="Animalia|Chordata|Aves|Passeriformes|Motacillidae|Monticola"/>
    <s v="Animalia"/>
    <s v="Chordata"/>
    <s v="Aves"/>
    <s v="Passeriformes"/>
    <s v="Motacillidae"/>
    <x v="90"/>
    <s v="alba"/>
    <s v="Species"/>
    <s v="White wagtail"/>
    <m/>
    <s v="ICZN"/>
    <m/>
    <m/>
    <s v="WGS84"/>
    <m/>
    <m/>
    <m/>
    <d v="2026-02-01T00:00:00"/>
    <s v="MaNIS georeferencing guidelines"/>
    <s v="Google Maps"/>
    <s v="verified by contributor"/>
    <s v="Europa | Italy | Veneto | Padua"/>
    <s v="Europa"/>
    <m/>
    <x v="0"/>
    <s v="ITA"/>
    <x v="3"/>
    <s v="Padua"/>
    <s v="PreservedSpecimen"/>
    <s v="ITA/ING"/>
    <s v="MZUR"/>
    <s v="ORN2025"/>
    <m/>
    <s v="Female"/>
    <s v="MZURORN2025-201"/>
    <n v="1"/>
    <n v="1"/>
    <s v="individuals"/>
    <s v="field collection"/>
    <s v="mounted specimen"/>
    <s v="Adult"/>
    <m/>
    <s v="DSC_1004.JPG"/>
    <s v="DSC_1003.JPG"/>
  </r>
  <r>
    <s v="MZURORN2025-202"/>
    <s v="PreservedSpecimen"/>
    <d v="1957-12-14T00:00:00"/>
    <n v="348"/>
    <n v="348"/>
    <x v="10"/>
    <n v="12"/>
    <n v="14"/>
    <d v="1957-12-14T00:00:00"/>
    <s v="Tunstall, 1771"/>
    <x v="112"/>
    <s v="Animalia|Chordata|Aves|Passeriformes|Motacillidae|Monticola"/>
    <s v="Animalia"/>
    <s v="Chordata"/>
    <s v="Aves"/>
    <s v="Passeriformes"/>
    <s v="Motacillidae"/>
    <x v="90"/>
    <s v="cinerea"/>
    <s v="Species"/>
    <s v="Grey wagtai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02"/>
    <n v="1"/>
    <n v="1"/>
    <s v="individuals"/>
    <s v="field collection"/>
    <s v="mounted specimen"/>
    <s v="Adult"/>
    <m/>
    <s v="DSC_1006.JPG"/>
    <s v="DSC_1005.JPG"/>
  </r>
  <r>
    <s v="MZURORN2025-203"/>
    <s v="PreservedSpecimen"/>
    <s v="n.a."/>
    <s v=""/>
    <s v=""/>
    <x v="4"/>
    <s v=""/>
    <s v=""/>
    <s v="n.a."/>
    <s v="Linnaeus, 1758"/>
    <x v="113"/>
    <s v="Animalia|Chordata|Aves|Passeriformes|Alaudidae|Galerida"/>
    <s v="Animalia"/>
    <s v="Chordata"/>
    <s v="Aves"/>
    <s v="Passeriformes"/>
    <s v="Alaudidae"/>
    <x v="91"/>
    <s v="cristata"/>
    <s v="Species"/>
    <s v="Crested lark"/>
    <m/>
    <s v="ICZN"/>
    <m/>
    <m/>
    <s v="WGS84"/>
    <m/>
    <m/>
    <m/>
    <d v="2026-02-01T00:00:00"/>
    <s v="MaNIS georeferencing guidelines"/>
    <s v="Google Maps"/>
    <s v="verified by contributor"/>
    <s v="n.a."/>
    <m/>
    <m/>
    <x v="1"/>
    <s v=""/>
    <x v="2"/>
    <s v="n.a."/>
    <s v="PreservedSpecimen"/>
    <s v="ITA/ING"/>
    <s v="MZUR"/>
    <s v="ORN2025"/>
    <m/>
    <s v="Unknown"/>
    <s v="MZURORN2025-203"/>
    <n v="1"/>
    <n v="1"/>
    <s v="individuals"/>
    <s v="field collection"/>
    <s v="mounted specimen"/>
    <s v="Adult"/>
    <m/>
    <s v="DSC_1008.JPG"/>
    <s v="DSC_1007.JPG"/>
  </r>
  <r>
    <s v="MZURORN2025-204"/>
    <s v="PreservedSpecimen"/>
    <d v="1956-11-20T00:00:00"/>
    <n v="325"/>
    <n v="325"/>
    <x v="14"/>
    <n v="11"/>
    <n v="20"/>
    <d v="1956-11-20T00:00:00"/>
    <s v="Linnaeus, 1758"/>
    <x v="114"/>
    <s v="Animalia|Chordata|Aves|Passeriformes|Motacillidae|Anthus"/>
    <s v="Animalia"/>
    <s v="Chordata"/>
    <s v="Aves"/>
    <s v="Passeriformes"/>
    <s v="Motacillidae"/>
    <x v="92"/>
    <s v="trivialis"/>
    <s v="Species"/>
    <s v="Tree pip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04"/>
    <n v="1"/>
    <n v="1"/>
    <s v="individuals"/>
    <s v="field collection"/>
    <s v="mounted specimen"/>
    <s v="Adult"/>
    <m/>
    <s v="DSC_1010.JPG"/>
    <s v="DSC_1009.JPG"/>
  </r>
  <r>
    <s v="MZURORN2025-205"/>
    <s v="PreservedSpecimen"/>
    <s v="n.a."/>
    <s v=""/>
    <s v=""/>
    <x v="4"/>
    <s v=""/>
    <s v=""/>
    <s v="n.a."/>
    <s v="Linnaeus, 1758"/>
    <x v="115"/>
    <s v="Animalia|Chordata|Aves|Passeriformes|Hirundinidae|Hirundo"/>
    <s v="Animalia"/>
    <s v="Chordata"/>
    <s v="Aves"/>
    <s v="Passeriformes"/>
    <s v="Hirundinidae"/>
    <x v="93"/>
    <s v="rustica"/>
    <s v="Species"/>
    <s v="Barn swallow"/>
    <m/>
    <s v="ICZN"/>
    <m/>
    <m/>
    <s v="WGS84"/>
    <m/>
    <m/>
    <m/>
    <d v="2026-02-01T00:00:00"/>
    <s v="MaNIS georeferencing guidelines"/>
    <s v="Google Maps"/>
    <s v="verified by contributor"/>
    <s v="n.a."/>
    <m/>
    <m/>
    <x v="1"/>
    <s v=""/>
    <x v="2"/>
    <s v="n.a."/>
    <s v="PreservedSpecimen"/>
    <s v="ITA/ING"/>
    <s v="MZUR"/>
    <s v="ORN2025"/>
    <m/>
    <s v="Unknown"/>
    <s v="MZURORN2025-205"/>
    <n v="1"/>
    <n v="1"/>
    <s v="individuals"/>
    <s v="field collection"/>
    <s v="mounted specimen"/>
    <s v="Adult"/>
    <m/>
    <s v="DSC_1012.JPG"/>
    <s v="DSC_1011.JPG"/>
  </r>
  <r>
    <s v="MZURORN2025-206"/>
    <s v="PreservedSpecimen"/>
    <s v="n.a."/>
    <s v=""/>
    <s v=""/>
    <x v="4"/>
    <s v=""/>
    <s v=""/>
    <s v="n.a."/>
    <s v="Linnaeus, 1758"/>
    <x v="116"/>
    <s v="Animalia|Chordata|Aves|Passeriformes|Aegithalidae|Alauda"/>
    <s v="Animalia"/>
    <s v="Chordata"/>
    <s v="Aves"/>
    <s v="Passeriformes"/>
    <s v="Aegithalidae"/>
    <x v="94"/>
    <s v="arvensis"/>
    <s v="Species"/>
    <s v="Eurasian skylark"/>
    <m/>
    <s v="ICZN"/>
    <m/>
    <m/>
    <s v="WGS84"/>
    <m/>
    <m/>
    <m/>
    <d v="2026-02-01T00:00:00"/>
    <s v="MaNIS georeferencing guidelines"/>
    <s v="Google Maps"/>
    <s v="verified by contributor"/>
    <s v="n.a."/>
    <m/>
    <m/>
    <x v="1"/>
    <s v=""/>
    <x v="2"/>
    <s v="n.a."/>
    <s v="PreservedSpecimen"/>
    <s v="ITA/ING"/>
    <s v="MZUR"/>
    <s v="ORN2025"/>
    <m/>
    <s v="Unknown"/>
    <s v="MZURORN2025-206"/>
    <n v="1"/>
    <n v="1"/>
    <s v="individuals"/>
    <s v="field collection"/>
    <s v="mounted specimen"/>
    <s v="Adult"/>
    <m/>
    <s v="DSC_1014.JPG"/>
    <s v="DSC_1013.JPG"/>
  </r>
  <r>
    <s v="MZURORN2025-207"/>
    <s v="PreservedSpecimen"/>
    <s v="n.a."/>
    <s v=""/>
    <s v=""/>
    <x v="4"/>
    <s v=""/>
    <s v=""/>
    <s v="n.a."/>
    <s v="Linnaeus, 1758"/>
    <x v="116"/>
    <s v="Animalia|Chordata|Aves|Passeriformes|Aegithalidae|Alauda"/>
    <s v="Animalia"/>
    <s v="Chordata"/>
    <s v="Aves"/>
    <s v="Passeriformes"/>
    <s v="Aegithalidae"/>
    <x v="94"/>
    <s v="arvensis"/>
    <s v="Species"/>
    <s v="Eurasian skylark"/>
    <m/>
    <s v="ICZN"/>
    <m/>
    <m/>
    <s v="WGS84"/>
    <m/>
    <m/>
    <m/>
    <d v="2026-02-01T00:00:00"/>
    <s v="MaNIS georeferencing guidelines"/>
    <s v="Google Maps"/>
    <s v="verified by contributor"/>
    <s v="n.a."/>
    <m/>
    <m/>
    <x v="1"/>
    <s v=""/>
    <x v="2"/>
    <s v="n.a."/>
    <s v="PreservedSpecimen"/>
    <s v="ITA/ING"/>
    <s v="MZUR"/>
    <s v="ORN2025"/>
    <m/>
    <s v="Unknown"/>
    <s v="MZURORN2025-207"/>
    <n v="1"/>
    <n v="1"/>
    <s v="individuals"/>
    <s v="field collection"/>
    <s v="mounted specimen"/>
    <s v="Adult"/>
    <m/>
    <s v="DSC_1016.JPG"/>
    <s v="DSC_1015.JPG"/>
  </r>
  <r>
    <s v="MZURORN2025-208"/>
    <s v="PreservedSpecimen"/>
    <d v="1959-09-06T00:00:00"/>
    <n v="249"/>
    <n v="249"/>
    <x v="2"/>
    <n v="9"/>
    <n v="6"/>
    <d v="1959-09-06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08"/>
    <n v="1"/>
    <n v="1"/>
    <s v="individuals"/>
    <s v="field collection"/>
    <s v="mounted specimen"/>
    <s v="Adult"/>
    <m/>
    <s v="DSC_1018.JPG"/>
    <s v="DSC_1017.JPG"/>
  </r>
  <r>
    <s v="MZURORN2025-209"/>
    <s v="PreservedSpecimen"/>
    <n v="1982"/>
    <n v="155"/>
    <n v="155"/>
    <x v="41"/>
    <n v="6"/>
    <n v="4"/>
    <d v="1905-06-04T00:00:00"/>
    <s v="Linnaeus, 1758"/>
    <x v="12"/>
    <s v="Animalia|Chordata|Aves|Piciformes|Picidae|Picus"/>
    <s v="Animalia"/>
    <s v="Chordata"/>
    <s v="Aves"/>
    <s v="Piciformes"/>
    <s v="Picidae"/>
    <x v="12"/>
    <s v="viridis"/>
    <s v="Species"/>
    <s v="European green woodpecker"/>
    <m/>
    <s v="ICZN"/>
    <m/>
    <m/>
    <s v="WGS84"/>
    <m/>
    <m/>
    <m/>
    <d v="2026-02-01T00:00:00"/>
    <s v="MaNIS georeferencing guidelines"/>
    <s v="Google Maps"/>
    <s v="verified by contributor"/>
    <s v="n.a."/>
    <m/>
    <m/>
    <x v="1"/>
    <s v=""/>
    <x v="2"/>
    <s v="n.a."/>
    <s v="PreservedSpecimen"/>
    <s v="ITA/ING"/>
    <s v="MZUR"/>
    <s v="ORN2025"/>
    <m/>
    <s v="Female"/>
    <s v="MZURORN2025-209"/>
    <n v="1"/>
    <n v="1"/>
    <s v="individuals"/>
    <s v="field collection"/>
    <s v="mounted specimen"/>
    <s v="Adult"/>
    <m/>
    <s v="DSC_1020.JPG"/>
    <s v="DSC_1019.JPG"/>
  </r>
  <r>
    <s v="MZURORN2025-210"/>
    <s v="PreservedSpecimen"/>
    <d v="1956-08-20T00:00:00"/>
    <n v="233"/>
    <n v="233"/>
    <x v="14"/>
    <n v="8"/>
    <n v="20"/>
    <d v="1956-08-20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Europa | Italy | Piedmont | Castelletto Stura"/>
    <s v="Europa"/>
    <m/>
    <x v="0"/>
    <s v="ITA"/>
    <x v="1"/>
    <s v="Castelletto Stura"/>
    <s v="PreservedSpecimen"/>
    <s v="ITA/ING"/>
    <s v="MZUR"/>
    <s v="ORN2025"/>
    <m/>
    <s v="Female"/>
    <s v="MZURORN2025-210"/>
    <n v="1"/>
    <n v="1"/>
    <s v="individuals"/>
    <s v="field collection"/>
    <s v="mounted specimen"/>
    <s v="Adult"/>
    <m/>
    <s v="DSC_1022.JPG"/>
    <s v="DSC_1021.JPG"/>
  </r>
  <r>
    <s v="MZURORN2025-211"/>
    <s v="PreservedSpecimen"/>
    <d v="1956-03-24T00:00:00"/>
    <n v="84"/>
    <n v="84"/>
    <x v="14"/>
    <n v="3"/>
    <n v="24"/>
    <d v="1956-03-24T00:00:00"/>
    <m/>
    <x v="117"/>
    <s v="Animalia|Chordata|Aves|||"/>
    <s v="Animalia"/>
    <s v="Chordata"/>
    <s v="Aves"/>
    <m/>
    <m/>
    <x v="95"/>
    <m/>
    <s v="Species"/>
    <s v="Lesser spotted woodpecker"/>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11"/>
    <n v="1"/>
    <n v="1"/>
    <s v="individuals"/>
    <s v="field collection"/>
    <s v="mounted specimen"/>
    <s v="Adult"/>
    <m/>
    <s v="DSC_1024.JPG"/>
    <s v="DSC_1023.JPG"/>
  </r>
  <r>
    <s v="MZURORN2025-212"/>
    <s v="PreservedSpecimen"/>
    <d v="1958-04-15T00:00:00"/>
    <n v="105"/>
    <n v="105"/>
    <x v="19"/>
    <n v="4"/>
    <n v="15"/>
    <d v="1958-04-15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Europa | Italy | Piedmont | Fontanelle di Boves"/>
    <s v="Europa"/>
    <m/>
    <x v="0"/>
    <s v="ITA"/>
    <x v="1"/>
    <s v="Fontanelle di Boves"/>
    <s v="PreservedSpecimen"/>
    <s v="ITA/ING"/>
    <s v="MZUR"/>
    <s v="ORN2025"/>
    <m/>
    <s v="Female"/>
    <s v="MZURORN2025-212"/>
    <n v="1"/>
    <n v="1"/>
    <s v="individuals"/>
    <s v="field collection"/>
    <s v="mounted specimen"/>
    <s v="Adult"/>
    <m/>
    <s v="DSC_1026.JPG"/>
    <s v="DSC_1025.JPG"/>
  </r>
  <r>
    <s v="MZURORN2025-213"/>
    <s v="PreservedSpecimen"/>
    <d v="1954-11-12T00:00:00"/>
    <n v="316"/>
    <n v="316"/>
    <x v="42"/>
    <n v="11"/>
    <n v="12"/>
    <d v="1954-11-12T00:00:00"/>
    <s v="Linnaeus, 1758"/>
    <x v="12"/>
    <s v="Animalia|Chordata|Aves|Piciformes|Picidae|Picus"/>
    <s v="Animalia"/>
    <s v="Chordata"/>
    <s v="Aves"/>
    <s v="Piciformes"/>
    <s v="Picidae"/>
    <x v="12"/>
    <s v="viridis"/>
    <s v="Species"/>
    <s v="European green woodpeck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13"/>
    <n v="1"/>
    <n v="1"/>
    <s v="individuals"/>
    <s v="field collection"/>
    <s v="mounted specimen"/>
    <s v="Adult"/>
    <m/>
    <s v="DSC_1028.JPG"/>
    <s v="DSC_1027.JPG"/>
  </r>
  <r>
    <s v="MZURORN2025-214"/>
    <s v="PreservedSpecimen"/>
    <s v="n.a."/>
    <s v=""/>
    <s v=""/>
    <x v="4"/>
    <s v=""/>
    <s v=""/>
    <s v="n.a."/>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Italy | Italy"/>
    <m/>
    <m/>
    <x v="0"/>
    <s v="ITA"/>
    <x v="2"/>
    <s v="Italy"/>
    <s v="PreservedSpecimen"/>
    <s v="ITA/ING"/>
    <s v="MZUR"/>
    <s v="ORN2025"/>
    <m/>
    <s v="Female"/>
    <s v="MZURORN2025-214"/>
    <n v="1"/>
    <n v="1"/>
    <s v="individuals"/>
    <s v="field collection"/>
    <s v="mounted specimen"/>
    <s v="Adult"/>
    <m/>
    <s v="DSC_1030.JPG"/>
    <s v="DSC_1029.JPG"/>
  </r>
  <r>
    <s v="MZURORN2025-215"/>
    <s v="PreservedSpecimen"/>
    <d v="1958-02-01T00:00:00"/>
    <n v="32"/>
    <n v="32"/>
    <x v="19"/>
    <n v="2"/>
    <n v="1"/>
    <d v="1958-02-01T00:00:00"/>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Europa | Italy | Piedmont | Piano Quinto"/>
    <s v="Europa"/>
    <m/>
    <x v="0"/>
    <s v="ITA"/>
    <x v="1"/>
    <s v="Piano Quinto"/>
    <s v="PreservedSpecimen"/>
    <s v="ITA/ING"/>
    <s v="MZUR"/>
    <s v="ORN2025"/>
    <m/>
    <s v="Male"/>
    <s v="MZURORN2025-215"/>
    <n v="1"/>
    <n v="1"/>
    <s v="individuals"/>
    <s v="field collection"/>
    <s v="mounted specimen"/>
    <s v="Adult"/>
    <m/>
    <s v="DSC_1032.JPG"/>
    <s v="DSC_1031.JPG"/>
  </r>
  <r>
    <s v="MZURORN2025-216"/>
    <s v="PreservedSpecimen"/>
    <s v="n.a."/>
    <s v=""/>
    <s v=""/>
    <x v="4"/>
    <s v=""/>
    <s v=""/>
    <s v="n.a."/>
    <s v="Linnaeus, 1758"/>
    <x v="118"/>
    <s v="Animalia|Chordata|Aves|Passeriformes|Turdidae|Turdus"/>
    <s v="Animalia"/>
    <s v="Chordata"/>
    <s v="Aves"/>
    <s v="Passeriformes"/>
    <s v="Turdidae"/>
    <x v="96"/>
    <s v="merula"/>
    <s v="Species"/>
    <s v="Common blackbird"/>
    <m/>
    <s v="ICZN"/>
    <m/>
    <m/>
    <s v="WGS84"/>
    <m/>
    <m/>
    <m/>
    <d v="2026-02-01T00:00:00"/>
    <s v="MaNIS georeferencing guidelines"/>
    <s v="Google Maps"/>
    <s v="verified by contributor"/>
    <s v="n.a."/>
    <m/>
    <m/>
    <x v="1"/>
    <s v=""/>
    <x v="2"/>
    <s v="n.a."/>
    <s v="PreservedSpecimen"/>
    <s v="ITA/ING"/>
    <s v="MZUR"/>
    <s v="ORN2025"/>
    <m/>
    <s v="Unknown"/>
    <s v="MZURORN2025-216"/>
    <n v="1"/>
    <n v="1"/>
    <s v="individuals"/>
    <s v="field collection"/>
    <s v="mounted specimen"/>
    <s v="Adult"/>
    <m/>
    <s v="DSC_1034.JPG"/>
    <s v="DSC_1033.JPG"/>
  </r>
  <r>
    <s v="MZURORN2025-217"/>
    <s v="PreservedSpecimen"/>
    <s v="n.a."/>
    <s v=""/>
    <s v=""/>
    <x v="4"/>
    <s v=""/>
    <s v=""/>
    <s v="n.a."/>
    <s v="Linnaeus, 1758"/>
    <x v="119"/>
    <s v="Animalia|Chordata|Aves|Passeriformes|Turdidae|Turdus"/>
    <s v="Animalia"/>
    <s v="Chordata"/>
    <s v="Aves"/>
    <s v="Passeriformes"/>
    <s v="Turdidae"/>
    <x v="96"/>
    <s v="torquatus"/>
    <s v="Species"/>
    <s v="Ring ouzel"/>
    <m/>
    <s v="ICZN"/>
    <m/>
    <m/>
    <s v="WGS84"/>
    <m/>
    <m/>
    <m/>
    <d v="2026-02-01T00:00:00"/>
    <s v="MaNIS georeferencing guidelines"/>
    <s v="Google Maps"/>
    <s v="verified by contributor"/>
    <s v="Europa | Italy | Lazio | Rome"/>
    <s v="Europa"/>
    <m/>
    <x v="0"/>
    <s v="ITA"/>
    <x v="0"/>
    <s v="Rome"/>
    <s v="PreservedSpecimen"/>
    <s v="ITA/ING"/>
    <s v="MZUR"/>
    <s v="ORN2025"/>
    <m/>
    <s v="Unknown"/>
    <s v="MZURORN2025-217"/>
    <n v="1"/>
    <n v="1"/>
    <s v="individuals"/>
    <s v="field collection"/>
    <s v="mounted specimen"/>
    <s v="Adult"/>
    <m/>
    <s v="DSC_1036.JPG"/>
    <s v="DSC_1035.JPG"/>
  </r>
  <r>
    <s v="MZURORN2025-218"/>
    <s v="PreservedSpecimen"/>
    <d v="1957-11-10T00:00:00"/>
    <n v="314"/>
    <n v="314"/>
    <x v="10"/>
    <n v="11"/>
    <n v="10"/>
    <d v="1957-11-10T00:00:00"/>
    <s v="Linnaeus, 1758"/>
    <x v="120"/>
    <s v="Animalia|Chordata|Aves|Passeriformes|Turdidae|Turdus"/>
    <s v="Animalia"/>
    <s v="Chordata"/>
    <s v="Aves"/>
    <s v="Passeriformes"/>
    <s v="Turdidae"/>
    <x v="96"/>
    <s v="iliacus"/>
    <s v="Species"/>
    <s v="Redw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18"/>
    <n v="1"/>
    <n v="1"/>
    <s v="individuals"/>
    <s v="field collection"/>
    <s v="mounted specimen"/>
    <s v="Adult"/>
    <m/>
    <s v="DSC_1038.JPG"/>
    <s v="DSC_1037.JPG"/>
  </r>
  <r>
    <s v="MZURORN2025-219"/>
    <s v="PreservedSpecimen"/>
    <s v="n.a."/>
    <s v=""/>
    <s v=""/>
    <x v="4"/>
    <s v=""/>
    <s v=""/>
    <s v="n.a."/>
    <s v="Linnaeus, 1758"/>
    <x v="118"/>
    <s v="Animalia|Chordata|Aves|Passeriformes|Turdidae|Turdus"/>
    <s v="Animalia"/>
    <s v="Chordata"/>
    <s v="Aves"/>
    <s v="Passeriformes"/>
    <s v="Turdidae"/>
    <x v="96"/>
    <s v="merula"/>
    <s v="Species"/>
    <s v="Common blackbird"/>
    <m/>
    <s v="ICZN"/>
    <m/>
    <m/>
    <s v="WGS84"/>
    <m/>
    <m/>
    <m/>
    <d v="2026-02-01T00:00:00"/>
    <s v="MaNIS georeferencing guidelines"/>
    <s v="Google Maps"/>
    <s v="verified by contributor"/>
    <s v="Europa | Italy | Lazio | Rome"/>
    <s v="Europa"/>
    <m/>
    <x v="0"/>
    <s v="ITA"/>
    <x v="0"/>
    <s v="Rome"/>
    <s v="PreservedSpecimen"/>
    <s v="ITA/ING"/>
    <s v="MZUR"/>
    <s v="ORN2025"/>
    <m/>
    <s v="Unknown"/>
    <s v="MZURORN2025-219"/>
    <n v="1"/>
    <n v="1"/>
    <s v="individuals"/>
    <s v="field collection"/>
    <s v="mounted specimen"/>
    <s v="Adult"/>
    <m/>
    <s v="DSC_1040.JPG"/>
    <s v="DSC_1039.JPG"/>
  </r>
  <r>
    <s v="MZURORN2025-220"/>
    <s v="PreservedSpecimen"/>
    <s v="n.a."/>
    <s v=""/>
    <s v=""/>
    <x v="4"/>
    <s v=""/>
    <s v=""/>
    <s v="n.a."/>
    <s v="Linnaeus, 1758"/>
    <x v="120"/>
    <s v="Animalia|Chordata|Aves|Passeriformes|Turdidae|Turdus"/>
    <s v="Animalia"/>
    <s v="Chordata"/>
    <s v="Aves"/>
    <s v="Passeriformes"/>
    <s v="Turdidae"/>
    <x v="96"/>
    <s v="iliacus"/>
    <s v="Species"/>
    <s v="Redwing"/>
    <m/>
    <s v="ICZN"/>
    <m/>
    <m/>
    <s v="WGS84"/>
    <m/>
    <m/>
    <m/>
    <d v="2026-02-01T00:00:00"/>
    <s v="MaNIS georeferencing guidelines"/>
    <s v="Google Maps"/>
    <s v="verified by contributor"/>
    <s v="n.a."/>
    <m/>
    <m/>
    <x v="1"/>
    <s v=""/>
    <x v="2"/>
    <s v="n.a."/>
    <s v="PreservedSpecimen"/>
    <s v="ITA/ING"/>
    <s v="MZUR"/>
    <s v="ORN2025"/>
    <m/>
    <s v="Unknown"/>
    <s v="MZURORN2025-220"/>
    <n v="1"/>
    <n v="1"/>
    <s v="individuals"/>
    <s v="field collection"/>
    <s v="mounted specimen"/>
    <s v="Adult"/>
    <m/>
    <s v="DSC_1042.JPG"/>
    <s v="DSC_1041.JPG"/>
  </r>
  <r>
    <s v="MZURORN2025-221"/>
    <s v="PreservedSpecimen"/>
    <d v="1964-02-16T00:00:00"/>
    <n v="47"/>
    <n v="47"/>
    <x v="43"/>
    <n v="2"/>
    <n v="16"/>
    <d v="1964-02-16T00:00:00"/>
    <s v="Brehm, 1831"/>
    <x v="121"/>
    <s v="Animalia|Chordata|Aves|Passeriformes|Turdidae|Turdus"/>
    <s v="Animalia"/>
    <s v="Chordata"/>
    <s v="Aves"/>
    <s v="Passeriformes"/>
    <s v="Turdidae"/>
    <x v="96"/>
    <s v="philomelos"/>
    <s v="Species"/>
    <s v="Song thrush"/>
    <m/>
    <s v="ICZN"/>
    <m/>
    <m/>
    <s v="WGS84"/>
    <m/>
    <m/>
    <m/>
    <d v="2026-02-01T00:00:00"/>
    <s v="MaNIS georeferencing guidelines"/>
    <s v="Google Maps"/>
    <s v="verified by contributor"/>
    <s v="Europa | Italy | Lazio | Pietra Pertusa"/>
    <s v="Europa"/>
    <m/>
    <x v="0"/>
    <s v="ITA"/>
    <x v="0"/>
    <s v="Pietra Pertusa"/>
    <s v="PreservedSpecimen"/>
    <s v="ITA/ING"/>
    <s v="MZUR"/>
    <s v="ORN2025"/>
    <m/>
    <s v="Male"/>
    <s v="MZURORN2025-221"/>
    <n v="1"/>
    <n v="1"/>
    <s v="individuals"/>
    <s v="field collection"/>
    <s v="mounted specimen"/>
    <s v="Adult"/>
    <m/>
    <s v="DSC_1044.JPG"/>
    <s v="DSC_1043.JPG"/>
  </r>
  <r>
    <s v="MZURORN2025-222"/>
    <s v="PreservedSpecimen"/>
    <s v="n.a."/>
    <s v=""/>
    <s v=""/>
    <x v="4"/>
    <s v=""/>
    <s v=""/>
    <s v="n.a."/>
    <s v="Brehm, 1831"/>
    <x v="121"/>
    <s v="Animalia|Chordata|Aves|Passeriformes|Turdidae|Turdus"/>
    <s v="Animalia"/>
    <s v="Chordata"/>
    <s v="Aves"/>
    <s v="Passeriformes"/>
    <s v="Turdidae"/>
    <x v="96"/>
    <s v="philomelos"/>
    <s v="Species"/>
    <s v="Song thrush"/>
    <m/>
    <s v="ICZN"/>
    <m/>
    <m/>
    <s v="WGS84"/>
    <m/>
    <m/>
    <m/>
    <d v="2026-02-01T00:00:00"/>
    <s v="MaNIS georeferencing guidelines"/>
    <s v="Google Maps"/>
    <s v="verified by contributor"/>
    <s v="n.a."/>
    <m/>
    <m/>
    <x v="1"/>
    <s v=""/>
    <x v="2"/>
    <s v="n.a."/>
    <s v="PreservedSpecimen"/>
    <s v="ITA/ING"/>
    <s v="MZUR"/>
    <s v="ORN2025"/>
    <m/>
    <s v="Unknown"/>
    <s v="MZURORN2025-222"/>
    <n v="1"/>
    <n v="1"/>
    <s v="individuals"/>
    <s v="field collection"/>
    <s v="mounted specimen"/>
    <s v="Adult"/>
    <m/>
    <s v="DSC_1046.JPG"/>
    <s v="DSC_1045.JPG"/>
  </r>
  <r>
    <s v="MZURORN2025-223"/>
    <s v="PreservedSpecimen"/>
    <n v="1890"/>
    <n v="63"/>
    <n v="63"/>
    <x v="26"/>
    <n v="3"/>
    <n v="4"/>
    <d v="1905-03-04T00:00:00"/>
    <s v="Linnaeus, 1758"/>
    <x v="122"/>
    <s v="Animalia|Chordata|Aves|Passeriformes|Muscicapidae|Oenanthe"/>
    <s v="Animalia"/>
    <s v="Chordata"/>
    <s v="Aves"/>
    <s v="Passeriformes"/>
    <s v="Muscicapidae"/>
    <x v="97"/>
    <s v="oenanthe"/>
    <s v="Species"/>
    <s v="Northern wheatear"/>
    <m/>
    <s v="ICZN"/>
    <m/>
    <m/>
    <s v="WGS84"/>
    <m/>
    <m/>
    <m/>
    <d v="2026-02-01T00:00:00"/>
    <s v="MaNIS georeferencing guidelines"/>
    <s v="Google Maps"/>
    <s v="verified by contributor"/>
    <s v="Europa | Italy | Lazio | Fiumicino"/>
    <s v="Europa"/>
    <m/>
    <x v="0"/>
    <s v="ITA"/>
    <x v="0"/>
    <s v="Fiumicino"/>
    <s v="PreservedSpecimen"/>
    <s v="ITA/ING"/>
    <s v="MZUR"/>
    <s v="ORN2025"/>
    <m/>
    <s v="Unknown"/>
    <s v="MZURORN2025-223"/>
    <n v="1"/>
    <n v="1"/>
    <s v="individuals"/>
    <s v="field collection"/>
    <s v="mounted specimen"/>
    <s v="Adult"/>
    <m/>
    <s v="DSC_1048.JPG"/>
    <s v="DSC_1047.JPG"/>
  </r>
  <r>
    <s v="MZURORN2025-224"/>
    <s v="PreservedSpecimen"/>
    <n v="1892"/>
    <n v="65"/>
    <n v="65"/>
    <x v="32"/>
    <n v="3"/>
    <n v="6"/>
    <d v="1905-03-06T00:00:00"/>
    <s v="Linnaeus, 1758"/>
    <x v="123"/>
    <s v="Animalia|Chordata|Aves|Passeriformes|Muscicapidae|Monticola"/>
    <s v="Animalia"/>
    <s v="Chordata"/>
    <s v="Aves"/>
    <s v="Passeriformes"/>
    <s v="Muscicapidae"/>
    <x v="90"/>
    <s v="solitarius"/>
    <s v="Species"/>
    <s v="Blue rock thrush"/>
    <m/>
    <s v="ICZN"/>
    <m/>
    <m/>
    <s v="WGS84"/>
    <m/>
    <m/>
    <m/>
    <d v="2026-02-01T00:00:00"/>
    <s v="MaNIS georeferencing guidelines"/>
    <s v="Google Maps"/>
    <s v="verified by contributor"/>
    <s v="Europa | Italy | Lazio | Rome"/>
    <s v="Europa"/>
    <m/>
    <x v="0"/>
    <s v="ITA"/>
    <x v="0"/>
    <s v="Rome"/>
    <s v="PreservedSpecimen"/>
    <s v="ITA/ING"/>
    <s v="MZUR"/>
    <s v="ORN2025"/>
    <m/>
    <s v="Unknown"/>
    <s v="MZURORN2025-224"/>
    <n v="1"/>
    <n v="1"/>
    <s v="individuals"/>
    <s v="field collection"/>
    <s v="mounted specimen"/>
    <s v="Adult"/>
    <m/>
    <s v="DSC_1050.JPG"/>
    <s v="DSC_1049.JPG"/>
  </r>
  <r>
    <s v="MZURORN2025-225"/>
    <s v="PreservedSpecimen"/>
    <d v="1952-03-22T00:00:00"/>
    <n v="82"/>
    <n v="82"/>
    <x v="31"/>
    <n v="3"/>
    <n v="22"/>
    <d v="1952-03-22T00:00:00"/>
    <s v="Linnaeus, 1766"/>
    <x v="124"/>
    <s v="Animalia|Chordata|Aves|Passeriformes|Muscicapidae|Saxicola"/>
    <s v="Animalia"/>
    <s v="Chordata"/>
    <s v="Aves"/>
    <s v="Passeriformes"/>
    <s v="Muscicapidae"/>
    <x v="98"/>
    <s v="torquatus"/>
    <s v="Species"/>
    <s v="African stonechat"/>
    <m/>
    <s v="ICZN"/>
    <m/>
    <m/>
    <s v="WGS84"/>
    <m/>
    <m/>
    <m/>
    <d v="2026-02-01T00:00:00"/>
    <s v="MaNIS georeferencing guidelines"/>
    <s v="Google Maps"/>
    <s v="verified by contributor"/>
    <s v="Europa | Italy | Lazio | Zannone Island"/>
    <s v="Europa"/>
    <m/>
    <x v="0"/>
    <s v="ITA"/>
    <x v="0"/>
    <s v="Zannone Island"/>
    <s v="PreservedSpecimen"/>
    <s v="ITA/ING"/>
    <s v="MZUR"/>
    <s v="ORN2025"/>
    <m/>
    <s v="Female"/>
    <s v="MZURORN2025-225"/>
    <n v="1"/>
    <n v="1"/>
    <s v="individuals"/>
    <s v="field collection"/>
    <s v="mounted specimen"/>
    <s v="Adult"/>
    <m/>
    <s v="DSC_1052.JPG"/>
    <s v="DSC_1051.JPG"/>
  </r>
  <r>
    <s v="MZURORN2025-226"/>
    <s v="PreservedSpecimen"/>
    <n v="1977"/>
    <n v="150"/>
    <n v="150"/>
    <x v="44"/>
    <n v="5"/>
    <n v="30"/>
    <d v="1905-05-30T00:00:00"/>
    <s v="Linnaeus, 1758"/>
    <x v="125"/>
    <s v="Animalia|Chordata|Aves|Passeriformes||Saxicola"/>
    <s v="Animalia"/>
    <s v="Chordata"/>
    <s v="Aves"/>
    <s v="Passeriformes"/>
    <m/>
    <x v="98"/>
    <s v="rubetra"/>
    <s v="Species"/>
    <s v="Whinchat"/>
    <m/>
    <s v="ICZN"/>
    <m/>
    <m/>
    <s v="WGS84"/>
    <m/>
    <m/>
    <m/>
    <d v="2026-02-01T00:00:00"/>
    <s v="MaNIS georeferencing guidelines"/>
    <s v="Google Maps"/>
    <s v="verified by contributor"/>
    <s v="Europa | Italy | Apulia | Ostuni"/>
    <s v="Europa"/>
    <m/>
    <x v="0"/>
    <s v="ITA"/>
    <x v="5"/>
    <s v="Ostuni"/>
    <s v="PreservedSpecimen"/>
    <s v="ITA/ING"/>
    <s v="MZUR"/>
    <s v="ORN2025"/>
    <m/>
    <s v="Male"/>
    <s v="MZURORN2025-226"/>
    <n v="1"/>
    <n v="1"/>
    <s v="individuals"/>
    <s v="field collection"/>
    <s v="mounted specimen"/>
    <s v="Adult"/>
    <m/>
    <s v="DSC_1054.JPG"/>
    <s v="DSC_1053.JPG"/>
  </r>
  <r>
    <s v="MZURORN2025-227"/>
    <s v="PreservedSpecimen"/>
    <d v="1981-03-15T00:00:00"/>
    <n v="74"/>
    <n v="74"/>
    <x v="45"/>
    <n v="3"/>
    <n v="15"/>
    <d v="1981-03-15T00:00:00"/>
    <m/>
    <x v="117"/>
    <s v="Animalia|Chordata|Aves|||"/>
    <s v="Animalia"/>
    <s v="Chordata"/>
    <s v="Aves"/>
    <m/>
    <m/>
    <x v="95"/>
    <m/>
    <s v="Species"/>
    <s v="Eastern subalpine warbler"/>
    <m/>
    <s v="ICZN"/>
    <m/>
    <m/>
    <s v="WGS84"/>
    <m/>
    <m/>
    <m/>
    <d v="2026-02-01T00:00:00"/>
    <s v="MaNIS georeferencing guidelines"/>
    <s v="Google Maps"/>
    <s v="verified by contributor"/>
    <s v="Europa | Italy | Lazio | Fidene"/>
    <s v="Europa"/>
    <m/>
    <x v="0"/>
    <s v="ITA"/>
    <x v="0"/>
    <s v="Fidene"/>
    <s v="PreservedSpecimen"/>
    <s v="ITA/ING"/>
    <s v="MZUR"/>
    <s v="ORN2025"/>
    <m/>
    <s v="Male"/>
    <s v="MZURORN2025-227"/>
    <n v="1"/>
    <n v="1"/>
    <s v="individuals"/>
    <s v="field collection"/>
    <s v="mounted specimen"/>
    <s v="Adult"/>
    <m/>
    <s v="DSC_1056.JPG"/>
    <s v="DSC_1055.JPG"/>
  </r>
  <r>
    <s v="MZURORN2025-228"/>
    <s v="PreservedSpecimen"/>
    <d v="1956-08-18T00:00:00"/>
    <n v="231"/>
    <n v="231"/>
    <x v="14"/>
    <n v="8"/>
    <n v="18"/>
    <d v="1956-08-18T00:00:00"/>
    <s v="Gmelin, 1789"/>
    <x v="126"/>
    <s v="Animalia|Chordata|Aves|Passeriformes|Sylviidae|Curruca"/>
    <s v="Animalia"/>
    <s v="Chordata"/>
    <s v="Aves"/>
    <s v="Passeriformes"/>
    <s v="Sylviidae"/>
    <x v="99"/>
    <s v="hortensis"/>
    <s v="Species"/>
    <s v="Western Orphean warbl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28"/>
    <n v="1"/>
    <n v="1"/>
    <s v="individuals"/>
    <s v="field collection"/>
    <s v="mounted specimen"/>
    <s v="Adult"/>
    <m/>
    <s v="DSC_1058.JPG"/>
    <s v="DSC_1057.JPG"/>
  </r>
  <r>
    <s v="MZURORN2025-229"/>
    <s v="PreservedSpecimen"/>
    <d v="1960-09-02T00:00:00"/>
    <n v="246"/>
    <n v="246"/>
    <x v="1"/>
    <n v="9"/>
    <n v="2"/>
    <d v="1960-09-02T00:00:00"/>
    <s v="Boddaert, 1783"/>
    <x v="127"/>
    <s v="Animalia|Chordata|Aves|Passeriformes|Sylviidae|Sylvia"/>
    <s v="Animalia"/>
    <s v="Chordata"/>
    <s v="Aves"/>
    <s v="Passeriformes"/>
    <s v="Sylviidae"/>
    <x v="100"/>
    <s v="borin"/>
    <s v="Species"/>
    <s v="Garden warbl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29"/>
    <n v="1"/>
    <n v="1"/>
    <s v="individuals"/>
    <s v="field collection"/>
    <s v="mounted specimen"/>
    <s v="Adult"/>
    <m/>
    <s v="DSC_1060.JPG"/>
    <s v="DSC_1059.JPG"/>
  </r>
  <r>
    <s v="MZURORN2025-230"/>
    <s v="PreservedSpecimen"/>
    <d v="1960-09-11T00:00:00"/>
    <n v="255"/>
    <n v="255"/>
    <x v="1"/>
    <n v="9"/>
    <n v="11"/>
    <d v="1960-09-11T00:00:00"/>
    <s v="Boddaert, 1783"/>
    <x v="127"/>
    <s v="Animalia|Chordata|Aves|Passeriformes|Sylviidae|Sylvia"/>
    <s v="Animalia"/>
    <s v="Chordata"/>
    <s v="Aves"/>
    <s v="Passeriformes"/>
    <s v="Sylviidae"/>
    <x v="100"/>
    <s v="borin"/>
    <s v="Species"/>
    <s v="Garden warbl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30"/>
    <n v="1"/>
    <n v="1"/>
    <s v="individuals"/>
    <s v="field collection"/>
    <s v="mounted specimen"/>
    <s v="Adult"/>
    <m/>
    <s v="DSC_1062.JPG"/>
    <s v="DSC_1061.JPG"/>
  </r>
  <r>
    <s v="MZURORN2025-231"/>
    <s v="PreservedSpecimen"/>
    <d v="1957-04-28T00:00:00"/>
    <n v="118"/>
    <n v="118"/>
    <x v="10"/>
    <n v="4"/>
    <n v="28"/>
    <d v="1957-04-28T00:00:00"/>
    <s v="Bechstein, 1793"/>
    <x v="128"/>
    <s v="Animalia|Chordata|Aves|Passeriformes|Phylloscopidae|Phylloscopus"/>
    <s v="Animalia"/>
    <s v="Chordata"/>
    <s v="Aves"/>
    <s v="Passeriformes"/>
    <s v="Phylloscopidae"/>
    <x v="101"/>
    <s v="sibilatrix"/>
    <s v="Species"/>
    <s v="Wood warbler"/>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231"/>
    <n v="1"/>
    <n v="1"/>
    <s v="individuals"/>
    <s v="field collection"/>
    <s v="mounted specimen"/>
    <s v="Adult"/>
    <m/>
    <s v="DSC_1064.JPG"/>
    <s v="DSC_1063.JPG"/>
  </r>
  <r>
    <s v="MZURORN2025-232"/>
    <s v="PreservedSpecimen"/>
    <d v="1956-01-15T00:00:00"/>
    <n v="15"/>
    <n v="15"/>
    <x v="14"/>
    <n v="1"/>
    <n v="15"/>
    <d v="1956-01-15T00:00:00"/>
    <s v="Linnaeus, 1758"/>
    <x v="129"/>
    <s v="Animalia|Chordata|Aves|Passeriformes|Regulidae|Regulus"/>
    <s v="Animalia"/>
    <s v="Chordata"/>
    <s v="Aves"/>
    <s v="Passeriformes"/>
    <s v="Regulidae"/>
    <x v="102"/>
    <s v="regulus"/>
    <s v="Species"/>
    <s v="Goldcres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32"/>
    <n v="1"/>
    <n v="1"/>
    <s v="individuals"/>
    <s v="field collection"/>
    <s v="mounted specimen"/>
    <s v="Adult"/>
    <m/>
    <s v="DSC_1066.JPG"/>
    <s v="DSC_1065.JPG"/>
  </r>
  <r>
    <s v="MZURORN2025-233"/>
    <s v="PreservedSpecimen"/>
    <s v="n.a."/>
    <s v=""/>
    <s v=""/>
    <x v="4"/>
    <s v=""/>
    <s v=""/>
    <s v="n.a."/>
    <s v="Temminck, 1820"/>
    <x v="130"/>
    <s v="Animalia|Chordata|Aves|Passeriformes|Cettiidae|Cettia"/>
    <s v="Animalia"/>
    <s v="Chordata"/>
    <s v="Aves"/>
    <s v="Passeriformes"/>
    <s v="Cettiidae"/>
    <x v="103"/>
    <s v="cetti"/>
    <s v="Species"/>
    <s v="Cetti's warbler"/>
    <m/>
    <s v="ICZN"/>
    <m/>
    <m/>
    <s v="WGS84"/>
    <m/>
    <m/>
    <m/>
    <d v="2026-02-01T00:00:00"/>
    <s v="MaNIS georeferencing guidelines"/>
    <s v="Google Maps"/>
    <s v="verified by contributor"/>
    <s v="Europa | Italy | Lazio | Sutri"/>
    <s v="Europa"/>
    <m/>
    <x v="0"/>
    <s v="ITA"/>
    <x v="0"/>
    <s v="Sutri"/>
    <s v="PreservedSpecimen"/>
    <s v="ITA/ING"/>
    <s v="MZUR"/>
    <s v="ORN2025"/>
    <m/>
    <s v="Unknown"/>
    <s v="MZURORN2025-233"/>
    <n v="1"/>
    <n v="1"/>
    <s v="individuals"/>
    <s v="field collection"/>
    <s v="mounted specimen"/>
    <s v="Adult"/>
    <m/>
    <s v="DSC_1068.JPG"/>
    <s v="DSC_1067.JPG"/>
  </r>
  <r>
    <s v="MZURORN2025-234"/>
    <s v="PreservedSpecimen"/>
    <d v="1951-10-23T00:00:00"/>
    <n v="296"/>
    <n v="296"/>
    <x v="46"/>
    <n v="10"/>
    <n v="23"/>
    <d v="1951-10-23T00:00:00"/>
    <s v="Linnaeus, 1758"/>
    <x v="129"/>
    <s v="Animalia|Chordata|Aves|Passeriformes|Regulidae|Regulus"/>
    <s v="Animalia"/>
    <s v="Chordata"/>
    <s v="Aves"/>
    <s v="Passeriformes"/>
    <s v="Regulidae"/>
    <x v="102"/>
    <s v="regulus"/>
    <s v="Species"/>
    <s v="Goldcrest"/>
    <m/>
    <s v="ICZN"/>
    <m/>
    <m/>
    <s v="WGS84"/>
    <m/>
    <m/>
    <m/>
    <d v="2026-02-01T00:00:00"/>
    <s v="MaNIS georeferencing guidelines"/>
    <s v="Google Maps"/>
    <s v="verified by contributor"/>
    <s v="Europa | Italy | Veneto | Padua"/>
    <s v="Europa"/>
    <m/>
    <x v="0"/>
    <s v="ITA"/>
    <x v="3"/>
    <s v="Padua"/>
    <s v="PreservedSpecimen"/>
    <s v="ITA/ING"/>
    <s v="MZUR"/>
    <s v="ORN2025"/>
    <m/>
    <s v="Unknown"/>
    <s v="MZURORN2025-234"/>
    <n v="1"/>
    <n v="1"/>
    <s v="individuals"/>
    <s v="field collection"/>
    <s v="mounted specimen"/>
    <s v="Adult"/>
    <m/>
    <s v="DSC_1070.JPG"/>
    <s v="DSC_1069.JPG"/>
  </r>
  <r>
    <s v="MZURORN2025-235"/>
    <s v="PreservedSpecimen"/>
    <d v="1959-10-18T00:00:00"/>
    <n v="291"/>
    <n v="291"/>
    <x v="2"/>
    <n v="10"/>
    <n v="18"/>
    <d v="1959-10-18T00:00:00"/>
    <s v="Linnaeus, 1758"/>
    <x v="131"/>
    <s v="Animalia|Chordata|Aves|Passeriformes|Sylviidae|Sylvia"/>
    <s v="Animalia"/>
    <s v="Chordata"/>
    <s v="Aves"/>
    <s v="Passeriformes"/>
    <s v="Sylviidae"/>
    <x v="100"/>
    <s v="atricapilla"/>
    <s v="Species"/>
    <s v="Eurasian blackcap"/>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35"/>
    <n v="1"/>
    <n v="1"/>
    <s v="individuals"/>
    <s v="field collection"/>
    <s v="mounted specimen"/>
    <s v="Adult"/>
    <m/>
    <s v="DSC_1072.JPG"/>
    <s v="DSC_1071.JPG"/>
  </r>
  <r>
    <s v="MZURORN2025-236"/>
    <s v="PreservedSpecimen"/>
    <s v="n.a."/>
    <s v=""/>
    <s v=""/>
    <x v="4"/>
    <s v=""/>
    <s v=""/>
    <s v="n.a."/>
    <s v="Linnaeus, 1758"/>
    <x v="131"/>
    <s v="Animalia|Chordata|Aves|Passeriformes|Sylviidae|Sylvia"/>
    <s v="Animalia"/>
    <s v="Chordata"/>
    <s v="Aves"/>
    <s v="Passeriformes"/>
    <s v="Sylviidae"/>
    <x v="100"/>
    <s v="atricapilla"/>
    <s v="Species"/>
    <s v="Eurasian blackcap"/>
    <m/>
    <s v="ICZN"/>
    <m/>
    <m/>
    <s v="WGS84"/>
    <m/>
    <m/>
    <m/>
    <d v="2026-02-01T00:00:00"/>
    <s v="MaNIS georeferencing guidelines"/>
    <s v="Google Maps"/>
    <s v="verified by contributor"/>
    <s v="n.a."/>
    <m/>
    <m/>
    <x v="1"/>
    <s v=""/>
    <x v="2"/>
    <s v="n.a."/>
    <s v="PreservedSpecimen"/>
    <s v="ITA/ING"/>
    <s v="MZUR"/>
    <s v="ORN2025"/>
    <m/>
    <s v="Male"/>
    <s v="MZURORN2025-236"/>
    <n v="1"/>
    <n v="1"/>
    <s v="individuals"/>
    <s v="field collection"/>
    <s v="mounted specimen"/>
    <s v="Adult"/>
    <m/>
    <s v="DSC_1074.JPG"/>
    <s v="DSC_1073.JPG"/>
  </r>
  <r>
    <s v="MZURORN2025-237"/>
    <s v="PreservedSpecimen"/>
    <d v="1959-09-20T00:00:00"/>
    <n v="263"/>
    <n v="263"/>
    <x v="2"/>
    <n v="9"/>
    <n v="20"/>
    <d v="1959-09-20T00:00:00"/>
    <s v="Linnaeus, 1758"/>
    <x v="131"/>
    <s v="Animalia|Chordata|Aves|Passeriformes|Sylviidae|Sylvia"/>
    <s v="Animalia"/>
    <s v="Chordata"/>
    <s v="Aves"/>
    <s v="Passeriformes"/>
    <s v="Sylviidae"/>
    <x v="100"/>
    <s v="atricapilla"/>
    <s v="Species"/>
    <s v="Eurasian blackcap"/>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37"/>
    <n v="1"/>
    <n v="1"/>
    <s v="individuals"/>
    <s v="field collection"/>
    <s v="mounted specimen"/>
    <s v="Juvenile"/>
    <m/>
    <s v="DSC_1076.JPG"/>
    <s v="DSC_1075.JPG"/>
  </r>
  <r>
    <s v="MZURORN2025-238"/>
    <s v="PreservedSpecimen"/>
    <d v="1957-09-24T00:00:00"/>
    <n v="267"/>
    <n v="267"/>
    <x v="10"/>
    <n v="9"/>
    <n v="24"/>
    <d v="1957-09-24T00:00:00"/>
    <s v="Linnaeus, 1758"/>
    <x v="3"/>
    <s v="Animalia|Chordata|Aves|Passeriformes|Corvidae|Nucifraga"/>
    <s v="Animalia"/>
    <s v="Chordata"/>
    <s v="Aves"/>
    <s v="Passeriformes"/>
    <s v="Corvidae"/>
    <x v="3"/>
    <s v="caryocatactes"/>
    <s v="Species"/>
    <s v="Northern nutcracker"/>
    <m/>
    <s v="ICZN"/>
    <m/>
    <m/>
    <s v="WGS84"/>
    <m/>
    <m/>
    <m/>
    <d v="2026-02-01T00:00:00"/>
    <s v="MaNIS georeferencing guidelines"/>
    <s v="Google Maps"/>
    <s v="verified by contributor"/>
    <s v="Europa | Italy | Piedmont | Cuneo"/>
    <s v="Europa"/>
    <m/>
    <x v="0"/>
    <s v="ITA"/>
    <x v="1"/>
    <s v="Cuneo"/>
    <s v="PreservedSpecimen"/>
    <s v="ITA/ING"/>
    <s v="MZUR"/>
    <s v="ORN2025"/>
    <m/>
    <s v="Female"/>
    <s v="MZURORN2025-238"/>
    <n v="1"/>
    <n v="1"/>
    <s v="individuals"/>
    <s v="field collection"/>
    <s v="mounted specimen"/>
    <s v="Adult"/>
    <m/>
    <s v="DSC_1078.JPG"/>
    <s v="DSC_1077.JPG"/>
  </r>
  <r>
    <s v="MZURORN2025-239"/>
    <s v="PreservedSpecimen"/>
    <s v="n.a."/>
    <s v=""/>
    <s v=""/>
    <x v="4"/>
    <s v=""/>
    <s v=""/>
    <s v="n.a."/>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n.a."/>
    <m/>
    <m/>
    <x v="1"/>
    <s v=""/>
    <x v="2"/>
    <s v="n.a."/>
    <s v="PreservedSpecimen"/>
    <s v="ITA/ING"/>
    <s v="MZUR"/>
    <s v="ORN2025"/>
    <m/>
    <s v="Unknown"/>
    <s v="MZURORN2025-239"/>
    <n v="1"/>
    <n v="1"/>
    <s v="individuals"/>
    <s v="field collection"/>
    <s v="mounted specimen"/>
    <s v="Adult"/>
    <m/>
    <s v="DSC_1080.JPG"/>
    <s v="DSC_1079.JPG"/>
  </r>
  <r>
    <s v="MZURORN2025-240"/>
    <s v="PreservedSpecimen"/>
    <d v="1956-11-15T00:00:00"/>
    <n v="320"/>
    <n v="320"/>
    <x v="14"/>
    <n v="11"/>
    <n v="15"/>
    <d v="1956-11-15T00:00:00"/>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40"/>
    <n v="1"/>
    <n v="1"/>
    <s v="individuals"/>
    <s v="field collection"/>
    <s v="mounted specimen"/>
    <s v="Adult"/>
    <m/>
    <s v="DSC_1082.JPG"/>
    <s v="DSC_1081.JPG"/>
  </r>
  <r>
    <s v="MZURORN2025-241"/>
    <s v="PreservedSpecimen"/>
    <d v="1957-11-15T00:00:00"/>
    <n v="319"/>
    <n v="319"/>
    <x v="10"/>
    <n v="11"/>
    <n v="15"/>
    <d v="1957-11-15T00:00:00"/>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41"/>
    <n v="1"/>
    <n v="1"/>
    <s v="individuals"/>
    <s v="field collection"/>
    <s v="mounted specimen"/>
    <s v="Adult"/>
    <m/>
    <s v="DSC_1084.JPG"/>
    <s v="DSC_1083.JPG"/>
  </r>
  <r>
    <s v="MZURORN2025-242"/>
    <s v="PreservedSpecimen"/>
    <d v="1956-11-09T00:00:00"/>
    <n v="314"/>
    <n v="314"/>
    <x v="14"/>
    <n v="11"/>
    <n v="9"/>
    <d v="1956-11-09T00:00:00"/>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42"/>
    <n v="1"/>
    <n v="1"/>
    <s v="individuals"/>
    <s v="field collection"/>
    <s v="mounted specimen"/>
    <s v="Adult"/>
    <m/>
    <s v="DSC_1086.JPG"/>
    <s v="DSC_1085.JPG"/>
  </r>
  <r>
    <s v="MZURORN2025-243"/>
    <s v="PreservedSpecimen"/>
    <d v="1958-06-28T00:00:00"/>
    <n v="179"/>
    <n v="179"/>
    <x v="19"/>
    <n v="6"/>
    <n v="28"/>
    <d v="1958-06-28T00:00:00"/>
    <s v="Linnaeus, 1758"/>
    <x v="132"/>
    <s v="Animalia|Chordata|Aves|Passeriformes|Laniidae|Lanius"/>
    <s v="Animalia"/>
    <s v="Chordata"/>
    <s v="Aves"/>
    <s v="Passeriformes"/>
    <s v="Laniidae"/>
    <x v="104"/>
    <s v="senator"/>
    <s v="Species"/>
    <s v="Woodchat shrike"/>
    <m/>
    <s v="ICZN"/>
    <m/>
    <m/>
    <s v="WGS84"/>
    <m/>
    <m/>
    <m/>
    <d v="2026-02-01T00:00:00"/>
    <s v="MaNIS georeferencing guidelines"/>
    <s v="Google Maps"/>
    <s v="verified by contributor"/>
    <s v="Europa | Italy | Piedmont | Cuneo"/>
    <s v="Europa"/>
    <m/>
    <x v="0"/>
    <s v="ITA"/>
    <x v="1"/>
    <s v="Cuneo"/>
    <s v="PreservedSpecimen"/>
    <s v="ITA/ING"/>
    <s v="MZUR"/>
    <s v="ORN2025"/>
    <m/>
    <s v="Female"/>
    <s v="MZURORN2025-243"/>
    <n v="1"/>
    <n v="1"/>
    <s v="individuals"/>
    <s v="field collection"/>
    <s v="mounted specimen"/>
    <s v="Adult"/>
    <m/>
    <s v="DSC_1088.JPG"/>
    <s v="DSC_1087.JPG"/>
  </r>
  <r>
    <s v="MZURORN2025-244"/>
    <s v="PreservedSpecimen"/>
    <d v="1959-10-18T00:00:00"/>
    <n v="291"/>
    <n v="291"/>
    <x v="2"/>
    <n v="10"/>
    <n v="18"/>
    <d v="1959-10-18T00:00:00"/>
    <s v="Brehm, 1820"/>
    <x v="133"/>
    <s v="Animalia|Chordata|Aves|Passeriformes|Certhiidae|Certhia"/>
    <s v="Animalia"/>
    <s v="Chordata"/>
    <s v="Aves"/>
    <s v="Passeriformes"/>
    <s v="Certhiidae"/>
    <x v="105"/>
    <s v="brachydactyla"/>
    <s v="Species"/>
    <s v="Short-toed treecreep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44"/>
    <n v="1"/>
    <n v="1"/>
    <s v="individuals"/>
    <s v="field collection"/>
    <s v="mounted specimen"/>
    <s v="Adult"/>
    <m/>
    <s v="DSC_1090.JPG"/>
    <s v="DSC_1089.JPG"/>
  </r>
  <r>
    <s v="MZURORN2025-245"/>
    <s v="PreservedSpecimen"/>
    <d v="1956-01-09T00:00:00"/>
    <n v="9"/>
    <n v="9"/>
    <x v="14"/>
    <n v="1"/>
    <n v="9"/>
    <d v="1956-01-09T00:00:00"/>
    <s v="Brehm, 1820"/>
    <x v="133"/>
    <s v="Animalia|Chordata|Aves|Passeriformes|Certhiidae|Certhia"/>
    <s v="Animalia"/>
    <s v="Chordata"/>
    <s v="Aves"/>
    <s v="Passeriformes"/>
    <s v="Certhiidae"/>
    <x v="105"/>
    <s v="brachydactyla"/>
    <s v="Species"/>
    <s v="Short-toed treecreeper"/>
    <m/>
    <s v="ICZN"/>
    <m/>
    <m/>
    <s v="WGS84"/>
    <m/>
    <m/>
    <m/>
    <d v="2026-02-01T00:00:00"/>
    <s v="MaNIS georeferencing guidelines"/>
    <s v="Google Maps"/>
    <s v="verified by contributor"/>
    <s v="Europa | Italy | Piedmont | Confreria"/>
    <s v="Europa"/>
    <m/>
    <x v="0"/>
    <s v="ITA"/>
    <x v="1"/>
    <s v="Confreria"/>
    <s v="PreservedSpecimen"/>
    <s v="ITA/ING"/>
    <s v="MZUR"/>
    <s v="ORN2025"/>
    <m/>
    <s v="Female"/>
    <s v="MZURORN2025-245"/>
    <n v="1"/>
    <n v="1"/>
    <s v="individuals"/>
    <s v="field collection"/>
    <s v="mounted specimen"/>
    <s v="Adult"/>
    <m/>
    <s v="DSC_1092.JPG"/>
    <s v="DSC_1091.JPG"/>
  </r>
  <r>
    <s v="MZURORN2025-246"/>
    <s v="PreservedSpecimen"/>
    <s v="n.a."/>
    <s v=""/>
    <s v=""/>
    <x v="4"/>
    <s v=""/>
    <s v=""/>
    <s v="n.a."/>
    <s v="Brehm, 1820"/>
    <x v="133"/>
    <s v="Animalia|Chordata|Aves|Passeriformes|Certhiidae|Certhia"/>
    <s v="Animalia"/>
    <s v="Chordata"/>
    <s v="Aves"/>
    <s v="Passeriformes"/>
    <s v="Certhiidae"/>
    <x v="105"/>
    <s v="brachydactyla"/>
    <s v="Species"/>
    <s v="Short-toed treecreeper"/>
    <m/>
    <s v="ICZN"/>
    <m/>
    <m/>
    <s v="WGS84"/>
    <m/>
    <m/>
    <m/>
    <d v="2026-02-01T00:00:00"/>
    <s v="MaNIS georeferencing guidelines"/>
    <s v="Google Maps"/>
    <s v="verified by contributor"/>
    <s v="n.a."/>
    <m/>
    <m/>
    <x v="1"/>
    <s v=""/>
    <x v="2"/>
    <s v="n.a."/>
    <s v="PreservedSpecimen"/>
    <s v="ITA/ING"/>
    <s v="MZUR"/>
    <s v="ORN2025"/>
    <m/>
    <s v="Unknown"/>
    <s v="MZURORN2025-246"/>
    <n v="1"/>
    <n v="1"/>
    <s v="individuals"/>
    <s v="field collection"/>
    <s v="mounted specimen"/>
    <s v="Adult"/>
    <m/>
    <s v="DSC_1094.JPG"/>
    <s v="DSC_1093.JPG"/>
  </r>
  <r>
    <s v="MZURORN2025-247"/>
    <s v="PreservedSpecimen"/>
    <s v="n.a."/>
    <s v=""/>
    <s v=""/>
    <x v="4"/>
    <s v=""/>
    <s v=""/>
    <s v="n.a."/>
    <s v="Linnaeus, 1758"/>
    <x v="17"/>
    <s v="Animalia|Chordata|Aves|Passeriformes|Oriolidae|Oriolus"/>
    <s v="Animalia"/>
    <s v="Chordata"/>
    <s v="Aves"/>
    <s v="Passeriformes"/>
    <s v="Oriolidae"/>
    <x v="16"/>
    <s v="oriolus"/>
    <s v="Species"/>
    <s v="Eurasian golden oriole"/>
    <m/>
    <s v="ICZN"/>
    <m/>
    <m/>
    <s v="WGS84"/>
    <m/>
    <m/>
    <m/>
    <d v="2026-02-01T00:00:00"/>
    <s v="MaNIS georeferencing guidelines"/>
    <s v="Google Maps"/>
    <s v="verified by contributor"/>
    <s v="n.a."/>
    <m/>
    <m/>
    <x v="1"/>
    <s v=""/>
    <x v="2"/>
    <s v="n.a."/>
    <s v="PreservedSpecimen"/>
    <s v="ITA/ING"/>
    <s v="MZUR"/>
    <s v="ORN2025"/>
    <m/>
    <s v="Unknown"/>
    <s v="MZURORN2025-247"/>
    <n v="1"/>
    <n v="1"/>
    <s v="individuals"/>
    <s v="field collection"/>
    <s v="mounted specimen"/>
    <s v="Adult"/>
    <m/>
    <s v="DSC_1096.JPG"/>
    <s v="DSC_1095.JPG"/>
  </r>
  <r>
    <s v="MZURORN2025-248"/>
    <s v="PreservedSpecimen"/>
    <d v="1958-08-20T00:00:00"/>
    <n v="232"/>
    <n v="232"/>
    <x v="19"/>
    <n v="8"/>
    <n v="20"/>
    <d v="1958-08-20T00:00:00"/>
    <s v="Linnaeus, 1758"/>
    <x v="17"/>
    <s v="Animalia|Chordata|Aves|Passeriformes|Oriolidae|Oriolus"/>
    <s v="Animalia"/>
    <s v="Chordata"/>
    <s v="Aves"/>
    <s v="Passeriformes"/>
    <s v="Oriolidae"/>
    <x v="16"/>
    <s v="oriolus"/>
    <s v="Species"/>
    <s v="Eurasian golden oriole"/>
    <m/>
    <s v="ICZN"/>
    <m/>
    <m/>
    <s v="WGS84"/>
    <m/>
    <m/>
    <m/>
    <d v="2026-02-01T00:00:00"/>
    <s v="MaNIS georeferencing guidelines"/>
    <s v="Google Maps"/>
    <s v="verified by contributor"/>
    <s v="Europa | Italy | Veneto | Padua"/>
    <s v="Europa"/>
    <m/>
    <x v="0"/>
    <s v="ITA"/>
    <x v="3"/>
    <s v="Padua"/>
    <s v="PreservedSpecimen"/>
    <s v="ITA/ING"/>
    <s v="MZUR"/>
    <s v="ORN2025"/>
    <m/>
    <s v="Female"/>
    <s v="MZURORN2025-248"/>
    <n v="1"/>
    <n v="1"/>
    <s v="individuals"/>
    <s v="field collection"/>
    <s v="mounted specimen"/>
    <s v="Adult"/>
    <m/>
    <s v="DSC_1098.JPG"/>
    <s v="DSC_1097.JPG"/>
  </r>
  <r>
    <s v="MZURORN2025-249"/>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49"/>
    <n v="1"/>
    <n v="1"/>
    <s v="individuals"/>
    <s v="field collection"/>
    <s v="mounted specimen"/>
    <s v="Adult"/>
    <m/>
    <s v="DSC_1100.JPG"/>
    <s v="DSC_1099.JPG"/>
  </r>
  <r>
    <s v="MZURORN2025-250"/>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50"/>
    <n v="1"/>
    <n v="1"/>
    <s v="individuals"/>
    <s v="field collection"/>
    <s v="mounted specimen"/>
    <s v="Adult"/>
    <m/>
    <s v="DSC_1102.JPG"/>
    <s v="DSC_1101.JPG"/>
  </r>
  <r>
    <s v="MZURORN2025-251"/>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51"/>
    <n v="1"/>
    <n v="1"/>
    <s v="individuals"/>
    <s v="field collection"/>
    <s v="mounted specimen"/>
    <s v="Adult"/>
    <m/>
    <s v="DSC_1104.JPG"/>
    <s v="DSC_1103.JPG"/>
  </r>
  <r>
    <s v="MZURORN2025-252"/>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52"/>
    <n v="1"/>
    <n v="1"/>
    <s v="individuals"/>
    <s v="field collection"/>
    <s v="mounted specimen"/>
    <s v="Adult"/>
    <m/>
    <s v="DSC_1106.JPG"/>
    <s v="DSC_1105.JPG"/>
  </r>
  <r>
    <s v="MZURORN2025-253"/>
    <s v="PreservedSpecimen"/>
    <d v="1956-11-15T00:00:00"/>
    <n v="320"/>
    <n v="320"/>
    <x v="14"/>
    <n v="11"/>
    <n v="15"/>
    <d v="1956-11-15T00:00:00"/>
    <s v="Pallas, 1764"/>
    <x v="134"/>
    <s v="Animalia|Chordata|Aves|Passeriformes|Muscicapidae|Ficedula"/>
    <s v="Animalia"/>
    <s v="Chordata"/>
    <s v="Aves"/>
    <s v="Passeriformes"/>
    <s v="Muscicapidae"/>
    <x v="106"/>
    <s v="hypoleuca"/>
    <s v="Species"/>
    <s v="European pied flycatch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53"/>
    <n v="1"/>
    <n v="1"/>
    <s v="individuals"/>
    <s v="field collection"/>
    <s v="mounted specimen"/>
    <s v="Adult"/>
    <m/>
    <s v="DSC_1108.JPG"/>
    <s v="DSC_1107.JPG"/>
  </r>
  <r>
    <s v="MZURORN2025-254"/>
    <s v="PreservedSpecimen"/>
    <d v="1956-02-15T00:00:00"/>
    <n v="46"/>
    <n v="46"/>
    <x v="14"/>
    <n v="2"/>
    <n v="15"/>
    <d v="1956-02-15T00:00:00"/>
    <s v="Linnaeus, 1758"/>
    <x v="135"/>
    <s v="Animalia|Chordata|Aves|Passeriformes|Aegithalidae|Aegithalos"/>
    <s v="Animalia"/>
    <s v="Chordata"/>
    <s v="Aves"/>
    <s v="Passeriformes"/>
    <s v="Aegithalidae"/>
    <x v="107"/>
    <s v="caudatus"/>
    <s v="Species"/>
    <s v="Long-tailed tit"/>
    <m/>
    <s v="ICZN"/>
    <m/>
    <m/>
    <s v="WGS84"/>
    <m/>
    <m/>
    <m/>
    <d v="2026-02-01T00:00:00"/>
    <s v="MaNIS georeferencing guidelines"/>
    <s v="Google Maps"/>
    <s v="verified by contributor"/>
    <s v="Europa | Italy | Piedmont | Confreria"/>
    <s v="Europa"/>
    <m/>
    <x v="0"/>
    <s v="ITA"/>
    <x v="1"/>
    <s v="Confreria"/>
    <s v="PreservedSpecimen"/>
    <s v="ITA/ING"/>
    <s v="MZUR"/>
    <s v="ORN2025"/>
    <m/>
    <s v="Female"/>
    <s v="MZURORN2025-254"/>
    <n v="1"/>
    <n v="1"/>
    <s v="individuals"/>
    <s v="field collection"/>
    <s v="mounted specimen"/>
    <s v="Adult"/>
    <m/>
    <s v="DSC_1110.JPG"/>
    <s v="DSC_1109.JPG"/>
  </r>
  <r>
    <s v="MZURORN2025-255"/>
    <s v="PreservedSpecimen"/>
    <d v="1959-09-20T00:00:00"/>
    <n v="263"/>
    <n v="263"/>
    <x v="2"/>
    <n v="9"/>
    <n v="20"/>
    <d v="1959-09-20T00:00:00"/>
    <s v="Linnaeus, 1758"/>
    <x v="136"/>
    <s v="Animalia|Chordata|Aves|Passeriformes|Paridae|Poecile"/>
    <s v="Animalia"/>
    <s v="Chordata"/>
    <s v="Aves"/>
    <s v="Passeriformes"/>
    <s v="Paridae"/>
    <x v="108"/>
    <s v="palustris"/>
    <s v="Species"/>
    <s v="Marsh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55"/>
    <n v="1"/>
    <n v="1"/>
    <s v="individuals"/>
    <s v="field collection"/>
    <s v="mounted specimen"/>
    <s v="Adult"/>
    <m/>
    <s v="DSC_1112.JPG"/>
    <s v="DSC_1111.JPG"/>
  </r>
  <r>
    <s v="MZURORN2025-256"/>
    <s v="PreservedSpecimen"/>
    <d v="1960-01-17T00:00:00"/>
    <n v="17"/>
    <n v="17"/>
    <x v="1"/>
    <n v="1"/>
    <n v="17"/>
    <d v="1960-01-17T00:00:00"/>
    <s v="Linnaeus, 1758"/>
    <x v="137"/>
    <s v="Animalia|Chordata|Aves|Passeriformes|Paridae|Cyanistes"/>
    <s v="Animalia"/>
    <s v="Chordata"/>
    <s v="Aves"/>
    <s v="Passeriformes"/>
    <s v="Paridae"/>
    <x v="109"/>
    <s v="caeruleus"/>
    <s v="Species"/>
    <s v="Eurasian blue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56"/>
    <n v="1"/>
    <n v="1"/>
    <s v="individuals"/>
    <s v="field collection"/>
    <s v="mounted specimen"/>
    <s v="Adult"/>
    <m/>
    <s v="DSC_1114.JPG"/>
    <s v="DSC_1113.JPG"/>
  </r>
  <r>
    <s v="MZURORN2025-257"/>
    <s v="PreservedSpecimen"/>
    <d v="1956-01-09T00:00:00"/>
    <n v="9"/>
    <n v="9"/>
    <x v="14"/>
    <n v="1"/>
    <n v="9"/>
    <d v="1956-01-09T00:00:00"/>
    <s v="Linnaeus, 1758"/>
    <x v="138"/>
    <s v="Animalia|Chordata|Aves|Passeriformes|Sittidae|Sitta"/>
    <s v="Animalia"/>
    <s v="Chordata"/>
    <s v="Aves"/>
    <s v="Passeriformes"/>
    <s v="Sittidae"/>
    <x v="110"/>
    <s v="europaea"/>
    <s v="Species"/>
    <s v="Eurasian nuthatch"/>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57"/>
    <n v="1"/>
    <n v="1"/>
    <s v="individuals"/>
    <s v="field collection"/>
    <s v="mounted specimen"/>
    <s v="Adult"/>
    <m/>
    <s v="DSC_1116.JPG"/>
    <s v="DSC_1115.JPG"/>
  </r>
  <r>
    <s v="MZURORN2025-258"/>
    <s v="PreservedSpecimen"/>
    <n v="1875"/>
    <n v="48"/>
    <n v="48"/>
    <x v="18"/>
    <n v="2"/>
    <n v="17"/>
    <d v="1905-02-17T00:00:00"/>
    <s v="Linnaeus, 1758"/>
    <x v="139"/>
    <s v="Animalia|Chordata|Aves|Passeriformes|Corvidae|Corvus"/>
    <s v="Animalia"/>
    <s v="Chordata"/>
    <s v="Aves"/>
    <s v="Passeriformes"/>
    <s v="Corvidae"/>
    <x v="7"/>
    <s v="corax"/>
    <s v="Species"/>
    <s v="Common raven"/>
    <m/>
    <s v="ICZN"/>
    <m/>
    <m/>
    <s v="WGS84"/>
    <m/>
    <m/>
    <m/>
    <d v="2026-02-01T00:00:00"/>
    <s v="MaNIS georeferencing guidelines"/>
    <s v="Google Maps"/>
    <s v="verified by contributor"/>
    <s v="Europa | Italy | Lazio | Rome"/>
    <s v="Europa"/>
    <m/>
    <x v="0"/>
    <s v="ITA"/>
    <x v="0"/>
    <s v="Rome"/>
    <s v="PreservedSpecimen"/>
    <s v="ITA/ING"/>
    <s v="MZUR"/>
    <s v="ORN2025"/>
    <m/>
    <s v="Unknown"/>
    <s v="MZURORN2025-258"/>
    <n v="1"/>
    <n v="1"/>
    <s v="individuals"/>
    <s v="field collection"/>
    <s v="mounted specimen"/>
    <s v="Adult"/>
    <m/>
    <s v="DSC_1118.JPG"/>
    <s v="DSC_1117.JPG"/>
  </r>
  <r>
    <s v="MZURORN2025-259"/>
    <s v="PreservedSpecimen"/>
    <n v="1881"/>
    <n v="54"/>
    <n v="54"/>
    <x v="47"/>
    <n v="2"/>
    <n v="23"/>
    <d v="1905-02-23T00:00:00"/>
    <s v="Linnaeus, 1758"/>
    <x v="140"/>
    <s v="Animalia|Chordata|Aves|Passeriformes|Corvidae|Corvus"/>
    <s v="Animalia"/>
    <s v="Chordata"/>
    <s v="Aves"/>
    <s v="Passeriformes"/>
    <s v="Corvidae"/>
    <x v="7"/>
    <s v="frugilegus"/>
    <s v="Species"/>
    <s v="Rook"/>
    <m/>
    <s v="ICZN"/>
    <m/>
    <m/>
    <s v="WGS84"/>
    <m/>
    <m/>
    <m/>
    <d v="2026-02-01T00:00:00"/>
    <s v="MaNIS georeferencing guidelines"/>
    <s v="Google Maps"/>
    <s v="verified by contributor"/>
    <s v="Europa | Italy | Lazio | Rome"/>
    <s v="Europa"/>
    <m/>
    <x v="0"/>
    <s v="ITA"/>
    <x v="0"/>
    <s v="Rome"/>
    <s v="PreservedSpecimen"/>
    <s v="ITA/ING"/>
    <s v="MZUR"/>
    <s v="ORN2025"/>
    <m/>
    <s v="Female"/>
    <s v="MZURORN2025-259"/>
    <n v="1"/>
    <n v="1"/>
    <s v="individuals"/>
    <s v="field collection"/>
    <s v="mounted specimen"/>
    <s v="Adult"/>
    <m/>
    <s v="DSC_1120.JPG"/>
    <s v="DSC_1119.JPG"/>
  </r>
  <r>
    <s v="MZURORN2025-260"/>
    <s v="PreservedSpecimen"/>
    <n v="1885"/>
    <n v="58"/>
    <n v="58"/>
    <x v="17"/>
    <n v="2"/>
    <n v="27"/>
    <d v="1905-02-27T00:00:00"/>
    <s v="Linnaeus, 1758"/>
    <x v="141"/>
    <s v="Animalia|Chordata|Aves|Passeriformes|Corvidae|Coloeus"/>
    <s v="Animalia"/>
    <s v="Chordata"/>
    <s v="Aves"/>
    <s v="Passeriformes"/>
    <s v="Corvidae"/>
    <x v="111"/>
    <s v="monedula"/>
    <s v="Species"/>
    <s v="Western jackdaw"/>
    <m/>
    <s v="ICZN"/>
    <m/>
    <m/>
    <s v="WGS84"/>
    <m/>
    <m/>
    <m/>
    <d v="2026-02-01T00:00:00"/>
    <s v="MaNIS georeferencing guidelines"/>
    <s v="Google Maps"/>
    <s v="verified by contributor"/>
    <s v="Europa | Italy | Lazio | Ager Romanus"/>
    <s v="Europa"/>
    <m/>
    <x v="0"/>
    <s v="ITA"/>
    <x v="0"/>
    <s v="Ager Romanus"/>
    <s v="PreservedSpecimen"/>
    <s v="ITA/ING"/>
    <s v="MZUR"/>
    <s v="ORN2025"/>
    <m/>
    <s v="Unknown"/>
    <s v="MZURORN2025-260"/>
    <n v="1"/>
    <n v="1"/>
    <s v="individuals"/>
    <s v="field collection"/>
    <s v="mounted specimen"/>
    <s v="Adult"/>
    <m/>
    <s v="DSC_1122.JPG"/>
    <s v="DSC_1121.JPG"/>
  </r>
  <r>
    <s v="MZURORN2025-261"/>
    <s v="PreservedSpecimen"/>
    <s v="n.a."/>
    <s v=""/>
    <s v=""/>
    <x v="4"/>
    <s v=""/>
    <s v=""/>
    <s v="n.a."/>
    <s v="Linnaeus, 1758"/>
    <x v="141"/>
    <s v="Animalia|Chordata|Aves|Passeriformes|Corvidae|Coloeus"/>
    <s v="Animalia"/>
    <s v="Chordata"/>
    <s v="Aves"/>
    <s v="Passeriformes"/>
    <s v="Corvidae"/>
    <x v="111"/>
    <s v="monedula"/>
    <s v="Species"/>
    <s v="Western jackdaw"/>
    <m/>
    <s v="ICZN"/>
    <m/>
    <m/>
    <s v="WGS84"/>
    <m/>
    <m/>
    <m/>
    <d v="2026-02-01T00:00:00"/>
    <s v="MaNIS georeferencing guidelines"/>
    <s v="Google Maps"/>
    <s v="verified by contributor"/>
    <s v="n.a."/>
    <m/>
    <m/>
    <x v="1"/>
    <s v=""/>
    <x v="2"/>
    <s v="n.a."/>
    <s v="PreservedSpecimen"/>
    <s v="ITA/ING"/>
    <s v="MZUR"/>
    <s v="ORN2025"/>
    <m/>
    <s v="Unknown"/>
    <s v="MZURORN2025-261"/>
    <n v="1"/>
    <n v="1"/>
    <s v="individuals"/>
    <s v="field collection"/>
    <s v="mounted specimen"/>
    <s v="Adult"/>
    <m/>
    <s v="DSC_1124.JPG"/>
    <s v="DSC_1123.JPG"/>
  </r>
  <r>
    <s v="MZURORN2025-262"/>
    <s v="PreservedSpecimen"/>
    <d v="1961-10-19T00:00:00"/>
    <n v="292"/>
    <n v="292"/>
    <x v="15"/>
    <n v="10"/>
    <n v="19"/>
    <d v="1961-10-19T00:00:00"/>
    <s v="Linnaeus, 1758"/>
    <x v="142"/>
    <s v="Animalia|Chordata|Aves|Passeriformes|Corvidae|Corvus"/>
    <s v="Animalia"/>
    <s v="Chordata"/>
    <s v="Aves"/>
    <s v="Passeriformes"/>
    <s v="Corvidae"/>
    <x v="7"/>
    <s v="corone"/>
    <s v="Species"/>
    <s v="Carrion crow"/>
    <m/>
    <s v="ICZN"/>
    <m/>
    <m/>
    <s v="WGS84"/>
    <m/>
    <m/>
    <m/>
    <d v="2026-02-01T00:00:00"/>
    <s v="MaNIS georeferencing guidelines"/>
    <s v="Google Maps"/>
    <s v="verified by contributor"/>
    <s v="Europa | Italy | Piedmont | Demonte"/>
    <s v="Europa"/>
    <m/>
    <x v="0"/>
    <s v="ITA"/>
    <x v="1"/>
    <s v="Demonte"/>
    <s v="PreservedSpecimen"/>
    <s v="ITA/ING"/>
    <s v="MZUR"/>
    <s v="ORN2025"/>
    <m/>
    <s v="Male"/>
    <s v="MZURORN2025-262"/>
    <n v="1"/>
    <n v="1"/>
    <s v="individuals"/>
    <s v="field collection"/>
    <s v="mounted specimen"/>
    <s v="Adult"/>
    <m/>
    <s v="DSC_1126.JPG"/>
    <s v="DSC_1125.JPG"/>
  </r>
  <r>
    <s v="MZURORN2025-263"/>
    <s v="PreservedSpecimen"/>
    <n v="1891"/>
    <n v="64"/>
    <n v="64"/>
    <x v="35"/>
    <n v="3"/>
    <n v="5"/>
    <d v="1905-03-05T00:00:00"/>
    <s v="Linnaeus, 1758"/>
    <x v="142"/>
    <s v="Animalia|Chordata|Aves|Passeriformes|Corvidae|Corvus"/>
    <s v="Animalia"/>
    <s v="Chordata"/>
    <s v="Aves"/>
    <s v="Passeriformes"/>
    <s v="Corvidae"/>
    <x v="7"/>
    <s v="corone"/>
    <s v="Species"/>
    <s v="Carrion crow"/>
    <m/>
    <s v="ICZN"/>
    <m/>
    <m/>
    <s v="WGS84"/>
    <m/>
    <m/>
    <m/>
    <d v="2026-02-01T00:00:00"/>
    <s v="MaNIS georeferencing guidelines"/>
    <s v="Google Maps"/>
    <s v="verified by contributor"/>
    <s v="Europa | Italy | Lazio | Rome"/>
    <s v="Europa"/>
    <m/>
    <x v="0"/>
    <s v="ITA"/>
    <x v="0"/>
    <s v="Rome"/>
    <s v="PreservedSpecimen"/>
    <s v="ITA/ING"/>
    <s v="MZUR"/>
    <s v="ORN2025"/>
    <m/>
    <s v="Unknown"/>
    <s v="MZURORN2025-263"/>
    <n v="1"/>
    <n v="1"/>
    <s v="individuals"/>
    <s v="field collection"/>
    <s v="mounted specimen"/>
    <s v="Adult"/>
    <m/>
    <s v="DSC_1128.JPG"/>
    <s v="DSC_1127.JPG"/>
  </r>
  <r>
    <s v="MZURORN2025-264"/>
    <s v="PreservedSpecimen"/>
    <n v="1960"/>
    <n v="133"/>
    <n v="133"/>
    <x v="1"/>
    <n v="5"/>
    <n v="13"/>
    <d v="1905-05-13T00:00:00"/>
    <s v="Linnaeus, 1758"/>
    <x v="143"/>
    <s v="Animalia|Chordata|Aves|Passeriformes|Corvidae|Pyrrhocorax"/>
    <s v="Animalia"/>
    <s v="Chordata"/>
    <s v="Aves"/>
    <s v="Passeriformes"/>
    <s v="Corvidae"/>
    <x v="1"/>
    <s v="pyrrhocorax"/>
    <s v="Species"/>
    <s v="Red-billed chough"/>
    <m/>
    <s v="ICZN"/>
    <m/>
    <m/>
    <s v="WGS84"/>
    <m/>
    <m/>
    <m/>
    <d v="2026-02-01T00:00:00"/>
    <s v="MaNIS georeferencing guidelines"/>
    <s v="Google Maps"/>
    <s v="verified by contributor"/>
    <s v="Europa | Italy | Piedmont | Limone Piemonte"/>
    <s v="Europa"/>
    <m/>
    <x v="0"/>
    <s v="ITA"/>
    <x v="1"/>
    <s v="Limone Piemonte"/>
    <s v="PreservedSpecimen"/>
    <s v="ITA/ING"/>
    <s v="MZUR"/>
    <s v="ORN2025"/>
    <m/>
    <s v="Female"/>
    <s v="MZURORN2025-264"/>
    <n v="1"/>
    <n v="1"/>
    <s v="individuals"/>
    <s v="field collection"/>
    <s v="mounted specimen"/>
    <s v="Adult"/>
    <m/>
    <s v="DSC_1130.JPG"/>
    <s v="DSC_1129.JPG"/>
  </r>
  <r>
    <s v="MZURORN2025-265"/>
    <s v="PreservedSpecimen"/>
    <n v="1875"/>
    <n v="48"/>
    <n v="48"/>
    <x v="18"/>
    <n v="2"/>
    <n v="17"/>
    <d v="1905-02-17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Marche | Sibillini Mountains"/>
    <s v="Europa"/>
    <m/>
    <x v="0"/>
    <s v="ITA"/>
    <x v="6"/>
    <s v="Sibillini Mountains"/>
    <s v="PreservedSpecimen"/>
    <s v="ITA/ING"/>
    <s v="MZUR"/>
    <s v="ORN2025"/>
    <m/>
    <s v="Unknown"/>
    <s v="MZURORN2025-265"/>
    <n v="1"/>
    <n v="1"/>
    <s v="individuals"/>
    <s v="field collection"/>
    <s v="mounted specimen"/>
    <s v="Adult"/>
    <m/>
    <s v="DSC_1132.JPG"/>
    <s v="DSC_1131.JPG"/>
  </r>
  <r>
    <s v="MZURORN2025-266"/>
    <s v="PreservedSpecimen"/>
    <d v="1961-10-25T00:00:00"/>
    <n v="298"/>
    <n v="298"/>
    <x v="15"/>
    <n v="10"/>
    <n v="25"/>
    <d v="1961-10-25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Piedmont | Ferrere da Bersezio"/>
    <s v="Europa"/>
    <m/>
    <x v="0"/>
    <s v="ITA"/>
    <x v="1"/>
    <s v="Ferrere da Bersezio"/>
    <s v="PreservedSpecimen"/>
    <s v="ITA/ING"/>
    <s v="MZUR"/>
    <s v="ORN2025"/>
    <m/>
    <s v="Male"/>
    <s v="MZURORN2025-266"/>
    <n v="1"/>
    <n v="1"/>
    <s v="individuals"/>
    <s v="field collection"/>
    <s v="mounted specimen"/>
    <s v="Adult"/>
    <m/>
    <s v="DSC_1134.JPG"/>
    <s v="DSC_1133.JPG"/>
  </r>
  <r>
    <s v="MZURORN2025-267"/>
    <s v="PreservedSpecimen"/>
    <n v="1960"/>
    <n v="133"/>
    <n v="133"/>
    <x v="1"/>
    <n v="5"/>
    <n v="13"/>
    <d v="1905-05-13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267"/>
    <n v="1"/>
    <n v="1"/>
    <s v="individuals"/>
    <s v="field collection"/>
    <s v="mounted specimen"/>
    <s v="Adult"/>
    <m/>
    <s v="DSC_1136.JPG"/>
    <s v="DSC_1135.JPG"/>
  </r>
  <r>
    <s v="MZURORN2025-268"/>
    <s v="PreservedSpecimen"/>
    <s v="n.a."/>
    <s v=""/>
    <s v=""/>
    <x v="4"/>
    <s v=""/>
    <s v=""/>
    <s v="n.a."/>
    <s v="Linnaeus, 1758"/>
    <x v="16"/>
    <s v="Animalia|Chordata|Aves|Passeriformes|Fringillinae|Fringilla"/>
    <s v="Animalia"/>
    <s v="Chordata"/>
    <s v="Aves"/>
    <s v="Passeriformes"/>
    <s v="Fringillinae"/>
    <x v="15"/>
    <s v="coelebs"/>
    <s v="Species"/>
    <s v="Eurasian chaffinch"/>
    <m/>
    <s v="ICZN"/>
    <m/>
    <m/>
    <s v="WGS84"/>
    <m/>
    <m/>
    <m/>
    <d v="2026-02-01T00:00:00"/>
    <s v="MaNIS georeferencing guidelines"/>
    <s v="Google Maps"/>
    <s v="verified by contributor"/>
    <s v="Europa | Italy | Lazio | Rome"/>
    <s v="Europa"/>
    <m/>
    <x v="0"/>
    <s v="ITA"/>
    <x v="0"/>
    <s v="Rome"/>
    <s v="PreservedSpecimen"/>
    <s v="ITA/ING"/>
    <s v="MZUR"/>
    <s v="ORN2025"/>
    <m/>
    <s v="Unknown"/>
    <s v="MZURORN2025-268"/>
    <n v="1"/>
    <n v="1"/>
    <s v="individuals"/>
    <s v="field collection"/>
    <s v="mounted specimen"/>
    <s v="Adult"/>
    <m/>
    <s v="DSC_1138.JPG"/>
    <s v="DSC_1137.JPG"/>
  </r>
  <r>
    <s v="MZURORN2025-269"/>
    <s v="PreservedSpecimen"/>
    <d v="1947-11-04T00:00:00"/>
    <n v="308"/>
    <n v="308"/>
    <x v="48"/>
    <n v="11"/>
    <n v="4"/>
    <d v="1947-11-04T00:00:00"/>
    <s v="Linnaeus, 1758"/>
    <x v="16"/>
    <s v="Animalia|Chordata|Aves|Passeriformes|Fringillinae|Fringilla"/>
    <s v="Animalia"/>
    <s v="Chordata"/>
    <s v="Aves"/>
    <s v="Passeriformes"/>
    <s v="Fringillinae"/>
    <x v="15"/>
    <s v="coelebs"/>
    <s v="Species"/>
    <s v="Eurasian chaffinch"/>
    <m/>
    <s v="ICZN"/>
    <m/>
    <m/>
    <s v="WGS84"/>
    <m/>
    <m/>
    <m/>
    <d v="2026-02-01T00:00:00"/>
    <s v="MaNIS georeferencing guidelines"/>
    <s v="Google Maps"/>
    <s v="verified by contributor"/>
    <s v="Europa | Italy | Veneto | Selvazzano"/>
    <s v="Europa"/>
    <m/>
    <x v="0"/>
    <s v="ITA"/>
    <x v="3"/>
    <s v="Selvazzano"/>
    <s v="PreservedSpecimen"/>
    <s v="ITA/ING"/>
    <s v="MZUR"/>
    <s v="ORN2025"/>
    <m/>
    <s v="Male"/>
    <s v="MZURORN2025-269"/>
    <n v="1"/>
    <n v="1"/>
    <s v="individuals"/>
    <s v="field collection"/>
    <s v="mounted specimen"/>
    <s v="Adult"/>
    <m/>
    <s v="DSC_1140.JPG"/>
    <s v="DSC_1139.JPG"/>
  </r>
  <r>
    <s v="MZURORN2025-270"/>
    <s v="PreservedSpecimen"/>
    <d v="1957-01-06T00:00:00"/>
    <n v="6"/>
    <n v="6"/>
    <x v="10"/>
    <n v="1"/>
    <n v="6"/>
    <d v="1957-01-06T00:00:00"/>
    <s v="Linnaeus, 1758"/>
    <x v="144"/>
    <s v="Animalia|Chordata|Aves|Passeriformes|Fringillidae|Fringilla"/>
    <s v="Animalia"/>
    <s v="Chordata"/>
    <s v="Aves"/>
    <s v="Passeriformes"/>
    <s v="Fringillidae"/>
    <x v="15"/>
    <s v="montifringilla"/>
    <s v="Species"/>
    <s v="Brambl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70"/>
    <n v="1"/>
    <n v="1"/>
    <s v="individuals"/>
    <s v="field collection"/>
    <s v="mounted specimen"/>
    <s v="Adult"/>
    <m/>
    <s v="DSC_1142.JPG"/>
    <s v="DSC_1141.JPG"/>
  </r>
  <r>
    <s v="MZURORN2025-271"/>
    <s v="PreservedSpecimen"/>
    <d v="1957-03-01T00:00:00"/>
    <n v="60"/>
    <n v="60"/>
    <x v="10"/>
    <n v="3"/>
    <n v="1"/>
    <d v="1957-03-01T00:00:00"/>
    <s v="Linnaeus, 1758"/>
    <x v="145"/>
    <s v="Animalia|Chordata|Aves|Passeriformes|Fringillidae|Carduelis"/>
    <s v="Animalia"/>
    <s v="Chordata"/>
    <s v="Aves"/>
    <s v="Passeriformes"/>
    <s v="Fringillidae"/>
    <x v="112"/>
    <s v="carduelis"/>
    <s v="Species"/>
    <s v="European goldfinch"/>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71"/>
    <n v="1"/>
    <n v="1"/>
    <s v="individuals"/>
    <s v="field collection"/>
    <s v="mounted specimen"/>
    <s v="Adult"/>
    <m/>
    <s v="DSC_1144.JPG"/>
    <s v="DSC_1143.JPG"/>
  </r>
  <r>
    <s v="MZURORN2025-272"/>
    <s v="PreservedSpecimen"/>
    <d v="1958-10-10T00:00:00"/>
    <n v="283"/>
    <n v="283"/>
    <x v="19"/>
    <n v="10"/>
    <n v="10"/>
    <d v="1958-10-10T00:00:00"/>
    <s v="Linnaeus, 1758"/>
    <x v="146"/>
    <s v="Animalia|Chordata|Aves|Passeriformes|Fringillidae|Linaria"/>
    <s v="Animalia"/>
    <s v="Chordata"/>
    <s v="Aves"/>
    <s v="Passeriformes"/>
    <s v="Fringillidae"/>
    <x v="113"/>
    <s v="cannabina"/>
    <s v="Species"/>
    <s v="Common linnet"/>
    <m/>
    <s v="ICZN"/>
    <m/>
    <m/>
    <s v="WGS84"/>
    <m/>
    <m/>
    <m/>
    <d v="2026-02-01T00:00:00"/>
    <s v="MaNIS georeferencing guidelines"/>
    <s v="Google Maps"/>
    <s v="verified by contributor"/>
    <s v="Europa | Italy | Veneto | Padua"/>
    <s v="Europa"/>
    <m/>
    <x v="0"/>
    <s v="ITA"/>
    <x v="3"/>
    <s v="Padua"/>
    <s v="PreservedSpecimen"/>
    <s v="ITA/ING"/>
    <s v="MZUR"/>
    <s v="ORN2025"/>
    <m/>
    <s v="Male"/>
    <s v="MZURORN2025-272"/>
    <n v="1"/>
    <n v="1"/>
    <s v="individuals"/>
    <s v="field collection"/>
    <s v="mounted specimen"/>
    <s v="Adult"/>
    <m/>
    <s v="DSC_1146.JPG"/>
    <s v="DSC_1145.JPG"/>
  </r>
  <r>
    <s v="MZURORN2025-273"/>
    <s v="PreservedSpecimen"/>
    <d v="1958-11-24T00:00:00"/>
    <n v="328"/>
    <n v="328"/>
    <x v="19"/>
    <n v="11"/>
    <n v="24"/>
    <d v="1958-11-24T00:00:00"/>
    <s v="Linnaeus, 1766"/>
    <x v="147"/>
    <s v="Animalia|Chordata|Aves|Passeriformes|Fringillidae|Serinus"/>
    <s v="Animalia"/>
    <s v="Chordata"/>
    <s v="Aves"/>
    <s v="Passeriformes"/>
    <s v="Fringillidae"/>
    <x v="114"/>
    <s v="serinus"/>
    <s v="Species"/>
    <s v="European serin"/>
    <m/>
    <s v="ICZN"/>
    <m/>
    <m/>
    <s v="WGS84"/>
    <m/>
    <m/>
    <m/>
    <d v="2026-02-01T00:00:00"/>
    <s v="MaNIS georeferencing guidelines"/>
    <s v="Google Maps"/>
    <s v="verified by contributor"/>
    <s v="Europa | Italy | Veneto | Noventa Padovana"/>
    <s v="Europa"/>
    <m/>
    <x v="0"/>
    <s v="ITA"/>
    <x v="3"/>
    <s v="Noventa Padovana"/>
    <s v="PreservedSpecimen"/>
    <s v="ITA/ING"/>
    <s v="MZUR"/>
    <s v="ORN2025"/>
    <m/>
    <s v="Male"/>
    <s v="MZURORN2025-273"/>
    <n v="1"/>
    <n v="1"/>
    <s v="individuals"/>
    <s v="field collection"/>
    <s v="mounted specimen"/>
    <s v="Adult"/>
    <m/>
    <s v="DSC_1148.JPG"/>
    <s v="DSC_1147.JPG"/>
  </r>
  <r>
    <s v="MZURORN2025-274"/>
    <s v="PreservedSpecimen"/>
    <d v="1965-02-11T00:00:00"/>
    <n v="42"/>
    <n v="42"/>
    <x v="49"/>
    <n v="2"/>
    <n v="11"/>
    <d v="1965-02-11T00:00:00"/>
    <s v="Linnaeus, 1758"/>
    <x v="148"/>
    <s v="Animalia|Chordata|Aves|Passeriformes|Fringillidae|Chloris"/>
    <s v="Animalia"/>
    <s v="Chordata"/>
    <s v="Aves"/>
    <s v="Passeriformes"/>
    <s v="Fringillidae"/>
    <x v="115"/>
    <s v="chloris"/>
    <s v="Species"/>
    <s v="European greenfinch"/>
    <m/>
    <s v="ICZN"/>
    <m/>
    <m/>
    <s v="WGS84"/>
    <m/>
    <m/>
    <m/>
    <d v="2026-02-01T00:00:00"/>
    <s v="MaNIS georeferencing guidelines"/>
    <s v="Google Maps"/>
    <s v="verified by contributor"/>
    <s v="Europa | Italy | Lazio | Tivoli"/>
    <s v="Europa"/>
    <m/>
    <x v="0"/>
    <s v="ITA"/>
    <x v="0"/>
    <s v="Tivoli"/>
    <s v="PreservedSpecimen"/>
    <s v="ITA/ING"/>
    <s v="MZUR"/>
    <s v="ORN2025"/>
    <m/>
    <s v="Female"/>
    <s v="MZURORN2025-274"/>
    <n v="1"/>
    <n v="1"/>
    <s v="individuals"/>
    <s v="field collection"/>
    <s v="mounted specimen"/>
    <s v="Adult"/>
    <m/>
    <s v="DSC_1150.JPG"/>
    <s v="DSC_1149.JPG"/>
  </r>
  <r>
    <s v="MZURORN2025-275"/>
    <s v="PreservedSpecimen"/>
    <d v="1949-10-20T00:00:00"/>
    <n v="293"/>
    <n v="293"/>
    <x v="50"/>
    <n v="10"/>
    <n v="20"/>
    <d v="1949-10-20T00:00:00"/>
    <s v="Linnaeus, 1758"/>
    <x v="148"/>
    <s v="Animalia|Chordata|Aves|Passeriformes|Fringillidae|Chloris"/>
    <s v="Animalia"/>
    <s v="Chordata"/>
    <s v="Aves"/>
    <s v="Passeriformes"/>
    <s v="Fringillidae"/>
    <x v="115"/>
    <s v="chloris"/>
    <s v="Species"/>
    <s v="European greenfinch"/>
    <m/>
    <s v="ICZN"/>
    <m/>
    <m/>
    <s v="WGS84"/>
    <m/>
    <m/>
    <m/>
    <d v="2026-02-01T00:00:00"/>
    <s v="MaNIS georeferencing guidelines"/>
    <s v="Google Maps"/>
    <s v="verified by contributor"/>
    <s v="Europa | Italy | Veneto | Padua"/>
    <s v="Europa"/>
    <m/>
    <x v="0"/>
    <s v="ITA"/>
    <x v="3"/>
    <s v="Padua"/>
    <s v="PreservedSpecimen"/>
    <s v="ITA/ING"/>
    <s v="MZUR"/>
    <s v="ORN2025"/>
    <m/>
    <s v="Male"/>
    <s v="MZURORN2025-275"/>
    <n v="1"/>
    <n v="1"/>
    <s v="individuals"/>
    <s v="field collection"/>
    <s v="mounted specimen"/>
    <s v="Adult"/>
    <m/>
    <s v="DSC_1152.JPG"/>
    <s v="DSC_1151.JPG"/>
  </r>
  <r>
    <s v="MZURORN2025-276"/>
    <s v="PreservedSpecimen"/>
    <s v="n.a."/>
    <s v=""/>
    <s v=""/>
    <x v="4"/>
    <s v=""/>
    <s v=""/>
    <s v="n.a."/>
    <s v="Linnaeus, 1758"/>
    <x v="149"/>
    <s v="Animalia|Chordata|Aves|Passeriformes|Fringillidae|Loxia"/>
    <s v="Animalia"/>
    <s v="Chordata"/>
    <s v="Aves"/>
    <s v="Passeriformes"/>
    <s v="Fringillidae"/>
    <x v="116"/>
    <s v="curvirostra"/>
    <s v="Species"/>
    <s v="Red crossbill"/>
    <m/>
    <s v="ICZN"/>
    <m/>
    <m/>
    <s v="WGS84"/>
    <m/>
    <m/>
    <m/>
    <d v="2026-02-01T00:00:00"/>
    <s v="MaNIS georeferencing guidelines"/>
    <s v="Google Maps"/>
    <s v="verified by contributor"/>
    <s v="Italy"/>
    <m/>
    <m/>
    <x v="0"/>
    <s v="ITA"/>
    <x v="2"/>
    <m/>
    <s v="PreservedSpecimen"/>
    <s v="ITA/ING"/>
    <s v="MZUR"/>
    <s v="ORN2025"/>
    <m/>
    <s v="Unknown"/>
    <s v="MZURORN2025-276"/>
    <n v="1"/>
    <n v="1"/>
    <s v="individuals"/>
    <s v="field collection"/>
    <s v="mounted specimen"/>
    <s v="Adult"/>
    <m/>
    <s v="DSC_1154.JPG"/>
    <s v="DSC_1153.JPG"/>
  </r>
  <r>
    <s v="MZURORN2025-277"/>
    <s v="PreservedSpecimen"/>
    <d v="1951-02-06T00:00:00"/>
    <n v="37"/>
    <n v="37"/>
    <x v="46"/>
    <n v="2"/>
    <n v="6"/>
    <d v="1951-02-06T00:00:00"/>
    <s v="Linnaeus, 1758"/>
    <x v="150"/>
    <s v="Animalia|Chordata|Aves|Passeriformes|Fringillidae|Pyrrhula"/>
    <s v="Animalia"/>
    <s v="Chordata"/>
    <s v="Aves"/>
    <s v="Passeriformes"/>
    <s v="Fringillidae"/>
    <x v="117"/>
    <s v="pyrrhula"/>
    <s v="Species"/>
    <s v="Eurasian bullfinch"/>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77"/>
    <n v="1"/>
    <n v="1"/>
    <s v="individuals"/>
    <s v="field collection"/>
    <s v="mounted specimen"/>
    <s v="Adult"/>
    <m/>
    <s v="DSC_1156.JPG"/>
    <s v="DSC_1155.JPG"/>
  </r>
  <r>
    <s v="MZURORN2025-278"/>
    <s v="PreservedSpecimen"/>
    <d v="1956-02-05T00:00:00"/>
    <n v="36"/>
    <n v="36"/>
    <x v="14"/>
    <n v="2"/>
    <n v="5"/>
    <d v="1956-02-05T00:00:00"/>
    <s v="Linnaeus, 1758"/>
    <x v="150"/>
    <s v="Animalia|Chordata|Aves|Passeriformes|Fringillidae|Pyrrhula"/>
    <s v="Animalia"/>
    <s v="Chordata"/>
    <s v="Aves"/>
    <s v="Passeriformes"/>
    <s v="Fringillidae"/>
    <x v="117"/>
    <s v="pyrrhula"/>
    <s v="Species"/>
    <s v="Eurasian bullfinch"/>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78"/>
    <n v="1"/>
    <n v="1"/>
    <s v="individuals"/>
    <s v="field collection"/>
    <s v="mounted specimen"/>
    <s v="Adult"/>
    <m/>
    <s v="DSC_1158.JPG"/>
    <s v="DSC_1157.JPG"/>
  </r>
  <r>
    <s v="MZURORN2025-279"/>
    <s v="PreservedSpecimen"/>
    <s v="n.a."/>
    <s v=""/>
    <s v=""/>
    <x v="4"/>
    <s v=""/>
    <s v=""/>
    <s v="n.a."/>
    <s v="Brisson, 1760"/>
    <x v="151"/>
    <s v="Animalia|Chordata|Aves|Passeriformes|Fringillidae|Coccothraustes"/>
    <s v="Animalia"/>
    <s v="Chordata"/>
    <s v="Aves"/>
    <s v="Passeriformes"/>
    <s v="Fringillidae"/>
    <x v="118"/>
    <s v="coccothraustes"/>
    <s v="Species"/>
    <s v="Hawfinch"/>
    <m/>
    <s v="ICZN"/>
    <m/>
    <m/>
    <s v="WGS84"/>
    <m/>
    <m/>
    <m/>
    <d v="2026-02-01T00:00:00"/>
    <s v="MaNIS georeferencing guidelines"/>
    <s v="Google Maps"/>
    <s v="verified by contributor"/>
    <s v="n.a."/>
    <m/>
    <m/>
    <x v="1"/>
    <s v=""/>
    <x v="2"/>
    <s v="n.a."/>
    <s v="PreservedSpecimen"/>
    <s v="ITA/ING"/>
    <s v="MZUR"/>
    <s v="ORN2025"/>
    <m/>
    <s v="Unknown"/>
    <s v="MZURORN2025-279"/>
    <n v="1"/>
    <n v="1"/>
    <s v="individuals"/>
    <s v="field collection"/>
    <s v="mounted specimen"/>
    <s v="Adult"/>
    <m/>
    <s v="DSC_1160.JPG"/>
    <s v="DSC_1159.JPG"/>
  </r>
  <r>
    <s v="MZURORN2025-280"/>
    <s v="PreservedSpecimen"/>
    <d v="1964-12-29T00:00:00"/>
    <n v="364"/>
    <n v="364"/>
    <x v="43"/>
    <n v="12"/>
    <n v="29"/>
    <d v="1964-12-29T00:00:00"/>
    <s v="Linnaeus, 1758"/>
    <x v="150"/>
    <s v="Animalia|Chordata|Aves|Passeriformes|Fringillidae|Pyrrhula"/>
    <s v="Animalia"/>
    <s v="Chordata"/>
    <s v="Aves"/>
    <s v="Passeriformes"/>
    <s v="Fringillidae"/>
    <x v="117"/>
    <s v="pyrrhula"/>
    <s v="Species"/>
    <s v="Eurasian bullfinch"/>
    <m/>
    <s v="ICZN"/>
    <m/>
    <m/>
    <s v="WGS84"/>
    <m/>
    <m/>
    <m/>
    <d v="2026-02-01T00:00:00"/>
    <s v="MaNIS georeferencing guidelines"/>
    <s v="Google Maps"/>
    <s v="verified by contributor"/>
    <s v="Europa | Italy | Piedmont | Boves"/>
    <s v="Europa"/>
    <m/>
    <x v="0"/>
    <s v="ITA"/>
    <x v="1"/>
    <s v="Boves"/>
    <s v="PreservedSpecimen"/>
    <s v="ITA/ING"/>
    <s v="MZUR"/>
    <s v="ORN2025"/>
    <m/>
    <s v="Female"/>
    <s v="MZURORN2025-280"/>
    <n v="1"/>
    <n v="1"/>
    <s v="individuals"/>
    <s v="field collection"/>
    <s v="mounted specimen"/>
    <s v="Adult"/>
    <m/>
    <s v="DSC_1162.JPG"/>
    <s v="DSC_1161.JPG"/>
  </r>
  <r>
    <s v="MZURORN2025-281"/>
    <s v="PreservedSpecimen"/>
    <d v="1957-03-02T00:00:00"/>
    <n v="61"/>
    <n v="61"/>
    <x v="10"/>
    <n v="3"/>
    <n v="2"/>
    <d v="1957-03-02T00:00:00"/>
    <s v="Brisson, 1760"/>
    <x v="151"/>
    <s v="Animalia|Chordata|Aves|Passeriformes|Fringillidae|Coccothraustes"/>
    <s v="Animalia"/>
    <s v="Chordata"/>
    <s v="Aves"/>
    <s v="Passeriformes"/>
    <s v="Fringillidae"/>
    <x v="118"/>
    <s v="coccothraustes"/>
    <s v="Species"/>
    <s v="Hawfinch"/>
    <m/>
    <s v="ICZN"/>
    <m/>
    <m/>
    <s v="WGS84"/>
    <m/>
    <m/>
    <m/>
    <d v="2026-02-01T00:00:00"/>
    <s v="MaNIS georeferencing guidelines"/>
    <s v="Google Maps"/>
    <s v="verified by contributor"/>
    <s v="Europa | Italy | Piedmont | Roccasparvera"/>
    <s v="Europa"/>
    <m/>
    <x v="0"/>
    <s v="ITA"/>
    <x v="1"/>
    <s v="Roccasparvera"/>
    <s v="PreservedSpecimen"/>
    <s v="ITA/ING"/>
    <s v="MZUR"/>
    <s v="ORN2025"/>
    <m/>
    <s v="Male"/>
    <s v="MZURORN2025-281"/>
    <n v="1"/>
    <n v="1"/>
    <s v="individuals"/>
    <s v="field collection"/>
    <s v="mounted specimen"/>
    <s v="Adult"/>
    <m/>
    <s v="DSC_1164.JPG"/>
    <s v="DSC_1163.JPG"/>
  </r>
  <r>
    <s v="MZURORN2025-282"/>
    <s v="PreservedSpecimen"/>
    <n v="1891"/>
    <n v="64"/>
    <n v="64"/>
    <x v="35"/>
    <n v="3"/>
    <n v="5"/>
    <d v="1905-03-05T00:00:00"/>
    <s v="Brisson, 1760"/>
    <x v="151"/>
    <s v="Animalia|Chordata|Aves|Passeriformes|Fringillidae|Coccothraustes"/>
    <s v="Animalia"/>
    <s v="Chordata"/>
    <s v="Aves"/>
    <s v="Passeriformes"/>
    <s v="Fringillidae"/>
    <x v="118"/>
    <s v="coccothraustes"/>
    <s v="Species"/>
    <s v="Hawfinch"/>
    <m/>
    <s v="ICZN"/>
    <m/>
    <m/>
    <s v="WGS84"/>
    <m/>
    <m/>
    <m/>
    <d v="2026-02-01T00:00:00"/>
    <s v="MaNIS georeferencing guidelines"/>
    <s v="Google Maps"/>
    <s v="verified by contributor"/>
    <s v="Europa | Italy | Lazio | Rome"/>
    <s v="Europa"/>
    <m/>
    <x v="0"/>
    <s v="ITA"/>
    <x v="0"/>
    <s v="Rome"/>
    <s v="PreservedSpecimen"/>
    <s v="ITA/ING"/>
    <s v="MZUR"/>
    <s v="ORN2025"/>
    <m/>
    <s v="Male"/>
    <s v="MZURORN2025-282"/>
    <n v="1"/>
    <n v="1"/>
    <s v="individuals"/>
    <s v="field collection"/>
    <s v="mounted specimen"/>
    <s v="Adult"/>
    <m/>
    <s v="DSC_1166.JPG"/>
    <s v="DSC_1165.JPG"/>
  </r>
  <r>
    <s v="MZURORN2025-283"/>
    <s v="PreservedSpecimen"/>
    <d v="1957-05-02T00:00:00"/>
    <n v="122"/>
    <n v="122"/>
    <x v="10"/>
    <n v="5"/>
    <n v="2"/>
    <d v="1957-05-02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Piedmont | Cuneo"/>
    <s v="Europa"/>
    <m/>
    <x v="0"/>
    <s v="ITA"/>
    <x v="1"/>
    <s v="Cuneo"/>
    <s v="PreservedSpecimen"/>
    <s v="ITA/ING"/>
    <s v="MZUR"/>
    <s v="ORN2025"/>
    <m/>
    <s v="Male"/>
    <s v="MZURORN2025-283"/>
    <n v="1"/>
    <n v="1"/>
    <s v="individuals"/>
    <s v="field collection"/>
    <s v="mounted specimen"/>
    <s v="Adult"/>
    <m/>
    <s v="DSC_1168.JPG"/>
    <s v="DSC_1167.JPG"/>
  </r>
  <r>
    <s v="MZURORN2025-284"/>
    <s v="PreservedSpecimen"/>
    <n v="1898"/>
    <n v="71"/>
    <n v="71"/>
    <x v="34"/>
    <n v="3"/>
    <n v="12"/>
    <d v="1905-03-12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Lazio | Civitavecchia"/>
    <s v="Europa"/>
    <m/>
    <x v="0"/>
    <s v="ITA"/>
    <x v="0"/>
    <s v="Civitavecchia"/>
    <s v="PreservedSpecimen"/>
    <s v="ITA/ING"/>
    <s v="MZUR"/>
    <s v="ORN2025"/>
    <m/>
    <s v="Unknown"/>
    <s v="MZURORN2025-284"/>
    <n v="1"/>
    <n v="1"/>
    <s v="individuals"/>
    <s v="field collection"/>
    <s v="mounted specimen"/>
    <s v="Adult"/>
    <m/>
    <s v="DSC_1170.JPG"/>
    <s v="DSC_1169.JPG"/>
  </r>
  <r>
    <s v="MZURORN2025-285"/>
    <s v="PreservedSpecimen"/>
    <d v="1956-11-15T00:00:00"/>
    <n v="320"/>
    <n v="320"/>
    <x v="14"/>
    <n v="11"/>
    <n v="15"/>
    <d v="1956-11-15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85"/>
    <n v="1"/>
    <n v="1"/>
    <s v="individuals"/>
    <s v="field collection"/>
    <s v="mounted specimen"/>
    <s v="Adult"/>
    <m/>
    <s v="DSC_1172.JPG"/>
    <s v="DSC_1171.JPG"/>
  </r>
  <r>
    <s v="MZURORN2025-286"/>
    <s v="PreservedSpecimen"/>
    <s v="n.a."/>
    <s v=""/>
    <s v=""/>
    <x v="4"/>
    <s v=""/>
    <s v=""/>
    <s v="n.a."/>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n.a."/>
    <m/>
    <m/>
    <x v="1"/>
    <s v=""/>
    <x v="2"/>
    <s v="n.a."/>
    <s v="PreservedSpecimen"/>
    <s v="ITA/ING"/>
    <s v="MZUR"/>
    <s v="ORN2025"/>
    <m/>
    <s v="Unknown"/>
    <s v="MZURORN2025-286"/>
    <n v="1"/>
    <n v="1"/>
    <s v="individuals"/>
    <s v="field collection"/>
    <s v="mounted specimen"/>
    <s v="Adult"/>
    <m/>
    <s v="DSC_1174.JPG"/>
    <s v="DSC_1173.JPG"/>
  </r>
  <r>
    <s v="MZURORN2025-287"/>
    <s v="PreservedSpecimen"/>
    <d v="1959-09-13T00:00:00"/>
    <n v="256"/>
    <n v="256"/>
    <x v="2"/>
    <n v="9"/>
    <n v="13"/>
    <d v="1959-09-13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87"/>
    <n v="1"/>
    <n v="1"/>
    <s v="individuals"/>
    <s v="field collection"/>
    <s v="mounted specimen"/>
    <s v="Adult"/>
    <m/>
    <s v="DSC_1176.JPG"/>
    <s v="DSC_1175.JPG"/>
  </r>
  <r>
    <s v="MZURORN2025-288"/>
    <s v="PreservedSpecimen"/>
    <d v="1908-06-30T00:00:00"/>
    <n v="182"/>
    <n v="182"/>
    <x v="51"/>
    <n v="6"/>
    <n v="30"/>
    <d v="1908-06-30T00:00:00"/>
    <s v="Linnaeus, 1758"/>
    <x v="153"/>
    <s v="Animalia|Chordata|Aves|Passeriformes|Sturnidae|Pastor"/>
    <s v="Animalia"/>
    <s v="Chordata"/>
    <s v="Aves"/>
    <s v="Passeriformes"/>
    <s v="Sturnidae"/>
    <x v="120"/>
    <s v="roseus"/>
    <s v="Species"/>
    <s v="Rosy starling"/>
    <m/>
    <s v="ICZN"/>
    <m/>
    <m/>
    <s v="WGS84"/>
    <m/>
    <m/>
    <m/>
    <d v="2026-02-01T00:00:00"/>
    <s v="MaNIS georeferencing guidelines"/>
    <s v="Google Maps"/>
    <s v="verified by contributor"/>
    <s v="Europa | Italy | Veneto | Verona"/>
    <s v="Europa"/>
    <m/>
    <x v="0"/>
    <s v="ITA"/>
    <x v="3"/>
    <s v="Verona"/>
    <s v="PreservedSpecimen"/>
    <s v="ITA/ING"/>
    <s v="MZUR"/>
    <s v="ORN2025"/>
    <m/>
    <s v="Male"/>
    <s v="MZURORN2025-288"/>
    <n v="1"/>
    <n v="1"/>
    <s v="individuals"/>
    <s v="field collection"/>
    <s v="mounted specimen"/>
    <s v="Adult"/>
    <m/>
    <s v="DSC_1178.JPG"/>
    <s v="DSC_1177.JPG"/>
  </r>
  <r>
    <s v="MZURORN2025-289"/>
    <s v="PreservedSpecimen"/>
    <d v="1964-12-31T00:00:00"/>
    <n v="366"/>
    <n v="366"/>
    <x v="43"/>
    <n v="12"/>
    <n v="31"/>
    <d v="1964-12-31T00:00:00"/>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Europa | Italy | Piedmont | Ferrere da Bersezio"/>
    <s v="Europa"/>
    <m/>
    <x v="0"/>
    <s v="ITA"/>
    <x v="1"/>
    <s v="Ferrere da Bersezio"/>
    <s v="PreservedSpecimen"/>
    <s v="ITA/ING"/>
    <s v="MZUR"/>
    <s v="ORN2025"/>
    <m/>
    <s v="Male"/>
    <s v="MZURORN2025-289"/>
    <n v="1"/>
    <n v="1"/>
    <s v="individuals"/>
    <s v="field collection"/>
    <s v="mounted specimen"/>
    <s v="Adult"/>
    <m/>
    <s v="DSC_1180.JPG"/>
    <s v="DSC_1179.JPG"/>
  </r>
  <r>
    <s v="MZURORN2025-290"/>
    <s v="PreservedSpecimen"/>
    <d v="1960-01-17T00:00:00"/>
    <n v="17"/>
    <n v="17"/>
    <x v="1"/>
    <n v="1"/>
    <n v="17"/>
    <d v="1960-01-17T00:00:00"/>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90"/>
    <n v="1"/>
    <n v="1"/>
    <s v="individuals"/>
    <s v="field collection"/>
    <s v="mounted specimen"/>
    <s v="Adult"/>
    <m/>
    <s v="DSC_1182.JPG"/>
    <s v="DSC_1181.JPG"/>
  </r>
  <r>
    <s v="MZURORN2025-291"/>
    <s v="PreservedSpecimen"/>
    <d v="1964-12-30T00:00:00"/>
    <n v="365"/>
    <n v="365"/>
    <x v="43"/>
    <n v="12"/>
    <n v="30"/>
    <d v="1964-12-30T00:00:00"/>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Europa | Italy | Piedmont | Ferrere da Bersezio"/>
    <s v="Europa"/>
    <m/>
    <x v="0"/>
    <s v="ITA"/>
    <x v="1"/>
    <s v="Ferrere da Bersezio"/>
    <s v="PreservedSpecimen"/>
    <s v="ITA/ING"/>
    <s v="MZUR"/>
    <s v="ORN2025"/>
    <m/>
    <s v="Female"/>
    <s v="MZURORN2025-291"/>
    <n v="1"/>
    <n v="1"/>
    <s v="individuals"/>
    <s v="field collection"/>
    <s v="mounted specimen"/>
    <s v="Adult"/>
    <m/>
    <m/>
    <m/>
  </r>
  <r>
    <s v="MZURORN2025-292"/>
    <s v="PreservedSpecimen"/>
    <s v="n.a."/>
    <s v=""/>
    <s v=""/>
    <x v="4"/>
    <s v=""/>
    <s v=""/>
    <s v="n.a."/>
    <s v="Viellot, 1817"/>
    <x v="9"/>
    <s v="Animalia|Chordata|Aves|Passeriformes|Passeridae|Passer"/>
    <s v="Animalia"/>
    <s v="Chordata"/>
    <s v="Aves"/>
    <s v="Passeriformes"/>
    <s v="Passeridae"/>
    <x v="9"/>
    <s v="italiae"/>
    <s v="Species"/>
    <s v="Italian sparrow"/>
    <m/>
    <s v="ICZN"/>
    <m/>
    <m/>
    <s v="WGS84"/>
    <m/>
    <m/>
    <m/>
    <d v="2026-02-01T00:00:00"/>
    <s v="MaNIS georeferencing guidelines"/>
    <s v="Google Maps"/>
    <s v="verified by contributor"/>
    <s v="n.a."/>
    <m/>
    <m/>
    <x v="1"/>
    <s v=""/>
    <x v="2"/>
    <s v="n.a."/>
    <s v="PreservedSpecimen"/>
    <s v="ITA/ING"/>
    <s v="MZUR"/>
    <s v="ORN2025"/>
    <m/>
    <s v="Female"/>
    <s v="MZURORN2025-292"/>
    <n v="1"/>
    <n v="1"/>
    <s v="individuals"/>
    <s v="field collection"/>
    <s v="mounted specimen"/>
    <s v="Adult"/>
    <m/>
    <m/>
    <m/>
  </r>
  <r>
    <s v="MZURORN2025-293"/>
    <s v="PreservedSpecimen"/>
    <d v="1957-07-15T00:00:00"/>
    <n v="196"/>
    <n v="196"/>
    <x v="10"/>
    <n v="7"/>
    <n v="15"/>
    <d v="1957-07-15T00:00:00"/>
    <s v="Linnaeus, 1758"/>
    <x v="154"/>
    <s v="Animalia|Chordata|Aves|Passeriformes|Passeridae|Passer"/>
    <s v="Animalia"/>
    <s v="Chordata"/>
    <s v="Aves"/>
    <s v="Passeriformes"/>
    <s v="Passeridae"/>
    <x v="9"/>
    <s v="domesticus"/>
    <s v="Species"/>
    <s v="House sparrow"/>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93"/>
    <n v="1"/>
    <n v="1"/>
    <s v="individuals"/>
    <s v="field collection"/>
    <s v="mounted specimen"/>
    <s v="Adult"/>
    <m/>
    <m/>
    <m/>
  </r>
  <r>
    <s v="MZURORN2025-294"/>
    <s v="PreservedSpecimen"/>
    <d v="1959-06-02T00:00:00"/>
    <n v="153"/>
    <n v="153"/>
    <x v="2"/>
    <n v="6"/>
    <n v="2"/>
    <d v="1959-06-02T00:00:00"/>
    <s v="Linnaeus, 1758"/>
    <x v="154"/>
    <s v="Animalia|Chordata|Aves|Passeriformes|Passeridae|Passer"/>
    <s v="Animalia"/>
    <s v="Chordata"/>
    <s v="Aves"/>
    <s v="Passeriformes"/>
    <s v="Passeridae"/>
    <x v="9"/>
    <s v="domesticus"/>
    <s v="Species"/>
    <s v="House sparrow"/>
    <m/>
    <s v="ICZN"/>
    <m/>
    <m/>
    <s v="WGS84"/>
    <m/>
    <m/>
    <m/>
    <d v="2026-02-01T00:00:00"/>
    <s v="MaNIS georeferencing guidelines"/>
    <s v="Google Maps"/>
    <s v="verified by contributor"/>
    <s v="Europa | Italy | Piedmont | Moriglione"/>
    <s v="Europa"/>
    <m/>
    <x v="0"/>
    <s v="ITA"/>
    <x v="1"/>
    <s v="Moriglione"/>
    <s v="PreservedSpecimen"/>
    <s v="ITA/ING"/>
    <s v="MZUR"/>
    <s v="ORN2025"/>
    <m/>
    <s v="Male"/>
    <s v="MZURORN2025-294"/>
    <n v="1"/>
    <n v="1"/>
    <s v="individuals"/>
    <s v="field collection"/>
    <s v="mounted specimen"/>
    <s v="Adult"/>
    <m/>
    <m/>
    <m/>
  </r>
  <r>
    <s v="MZURORN2025-295"/>
    <s v="PreservedSpecimen"/>
    <d v="1964-12-29T00:00:00"/>
    <n v="364"/>
    <n v="364"/>
    <x v="43"/>
    <n v="12"/>
    <n v="29"/>
    <d v="1964-12-29T00:00:00"/>
    <s v="Linnaeus, 1758"/>
    <x v="155"/>
    <s v="Animalia|Chordata|Aves|Pelecaniformes|Emberizidae|Emberiza"/>
    <s v="Animalia"/>
    <s v="Chordata"/>
    <s v="Aves"/>
    <s v="Pelecaniformes"/>
    <s v="Emberizidae"/>
    <x v="121"/>
    <s v="citrinella"/>
    <s v="Species"/>
    <s v="Yellowhamm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95"/>
    <n v="1"/>
    <n v="1"/>
    <s v="individuals"/>
    <s v="field collection"/>
    <s v="mounted specimen"/>
    <s v="Adult"/>
    <m/>
    <m/>
    <m/>
  </r>
  <r>
    <s v="MZURORN2025-296"/>
    <s v="PreservedSpecimen"/>
    <d v="1964-12-29T00:00:00"/>
    <n v="364"/>
    <n v="364"/>
    <x v="43"/>
    <n v="12"/>
    <n v="29"/>
    <d v="1964-12-29T00:00:00"/>
    <s v="Linnaeus, 1758"/>
    <x v="155"/>
    <s v="Animalia|Chordata|Aves|Pelecaniformes|Emberizidae|Emberiza"/>
    <s v="Animalia"/>
    <s v="Chordata"/>
    <s v="Aves"/>
    <s v="Pelecaniformes"/>
    <s v="Emberizidae"/>
    <x v="121"/>
    <s v="citrinella"/>
    <s v="Species"/>
    <s v="Yellowhammer"/>
    <m/>
    <s v="ICZN"/>
    <m/>
    <m/>
    <s v="WGS84"/>
    <m/>
    <m/>
    <m/>
    <d v="2026-02-01T00:00:00"/>
    <s v="MaNIS georeferencing guidelines"/>
    <s v="Google Maps"/>
    <s v="verified by contributor"/>
    <s v="Europa | Italy | Piedmont | Boves"/>
    <s v="Europa"/>
    <m/>
    <x v="0"/>
    <s v="ITA"/>
    <x v="1"/>
    <s v="Boves"/>
    <s v="PreservedSpecimen"/>
    <s v="ITA/ING"/>
    <s v="MZUR"/>
    <s v="ORN2025"/>
    <m/>
    <s v="Male"/>
    <s v="MZURORN2025-296"/>
    <n v="1"/>
    <n v="1"/>
    <s v="individuals"/>
    <s v="field collection"/>
    <s v="mounted specimen"/>
    <s v="Adult"/>
    <m/>
    <m/>
    <m/>
  </r>
  <r>
    <s v="MZURORN2025-297"/>
    <s v="PreservedSpecimen"/>
    <d v="1958-11-15T00:00:00"/>
    <n v="319"/>
    <n v="319"/>
    <x v="19"/>
    <n v="11"/>
    <n v="15"/>
    <d v="1958-11-15T00:00:00"/>
    <s v="Linnaeus, 1758"/>
    <x v="155"/>
    <s v="Animalia|Chordata|Aves|Pelecaniformes|Emberizidae|Emberiza"/>
    <s v="Animalia"/>
    <s v="Chordata"/>
    <s v="Aves"/>
    <s v="Pelecaniformes"/>
    <s v="Emberizidae"/>
    <x v="121"/>
    <s v="citrinella"/>
    <s v="Species"/>
    <s v="Yellowhammer"/>
    <m/>
    <s v="ICZN"/>
    <m/>
    <m/>
    <s v="WGS84"/>
    <m/>
    <m/>
    <m/>
    <d v="2026-02-01T00:00:00"/>
    <s v="MaNIS georeferencing guidelines"/>
    <s v="Google Maps"/>
    <s v="verified by contributor"/>
    <s v="Europa | Italy | Veneto | Noventa Padovana"/>
    <s v="Europa"/>
    <m/>
    <x v="0"/>
    <s v="ITA"/>
    <x v="3"/>
    <s v="Noventa Padovana"/>
    <s v="PreservedSpecimen"/>
    <s v="ITA/ING"/>
    <s v="MZUR"/>
    <s v="ORN2025"/>
    <m/>
    <s v="Female"/>
    <s v="MZURORN2025-297"/>
    <n v="1"/>
    <n v="1"/>
    <s v="individuals"/>
    <s v="field collection"/>
    <s v="mounted specimen"/>
    <s v="Adult"/>
    <m/>
    <m/>
    <m/>
  </r>
  <r>
    <s v="MZURORN2025-298"/>
    <s v="PreservedSpecimen"/>
    <d v="1959-05-01T00:00:00"/>
    <n v="121"/>
    <n v="121"/>
    <x v="2"/>
    <n v="5"/>
    <n v="1"/>
    <d v="1959-05-01T00:00:00"/>
    <s v="Linnaeus, 1758"/>
    <x v="156"/>
    <s v="Animalia|Chordata|Aves|Pelecaniformes|Emberizidae|Emberiza"/>
    <s v="Animalia"/>
    <s v="Chordata"/>
    <s v="Aves"/>
    <s v="Pelecaniformes"/>
    <s v="Emberizidae"/>
    <x v="121"/>
    <s v="calandra"/>
    <s v="Species"/>
    <s v="Corn bunting"/>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298"/>
    <n v="1"/>
    <n v="1"/>
    <s v="individuals"/>
    <s v="field collection"/>
    <s v="mounted specimen"/>
    <s v="Adult"/>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17215-6847-481B-97F0-5C300755C4C6}" name="Tabella pivot1"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D6" firstHeaderRow="1" firstDataRow="2" firstDataCol="1"/>
  <pivotFields count="5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23">
        <item x="21"/>
        <item x="59"/>
        <item x="107"/>
        <item x="94"/>
        <item x="84"/>
        <item x="38"/>
        <item x="34"/>
        <item x="48"/>
        <item x="92"/>
        <item x="80"/>
        <item x="66"/>
        <item x="27"/>
        <item x="79"/>
        <item x="65"/>
        <item x="28"/>
        <item x="33"/>
        <item x="45"/>
        <item x="29"/>
        <item x="17"/>
        <item x="54"/>
        <item x="67"/>
        <item x="112"/>
        <item x="105"/>
        <item x="103"/>
        <item x="51"/>
        <item x="72"/>
        <item x="115"/>
        <item x="73"/>
        <item x="88"/>
        <item x="19"/>
        <item x="118"/>
        <item x="111"/>
        <item x="70"/>
        <item x="82"/>
        <item x="7"/>
        <item x="63"/>
        <item x="68"/>
        <item x="99"/>
        <item x="109"/>
        <item x="11"/>
        <item x="44"/>
        <item x="121"/>
        <item x="4"/>
        <item x="14"/>
        <item x="36"/>
        <item x="20"/>
        <item x="106"/>
        <item x="15"/>
        <item x="23"/>
        <item x="91"/>
        <item x="55"/>
        <item x="24"/>
        <item x="0"/>
        <item x="43"/>
        <item x="78"/>
        <item x="50"/>
        <item x="93"/>
        <item x="74"/>
        <item x="76"/>
        <item x="13"/>
        <item x="61"/>
        <item x="104"/>
        <item x="60"/>
        <item x="113"/>
        <item x="116"/>
        <item x="86"/>
        <item x="32"/>
        <item x="40"/>
        <item x="39"/>
        <item x="83"/>
        <item x="64"/>
        <item x="90"/>
        <item x="41"/>
        <item x="3"/>
        <item x="58"/>
        <item x="26"/>
        <item x="97"/>
        <item x="16"/>
        <item x="31"/>
        <item x="10"/>
        <item x="9"/>
        <item x="120"/>
        <item x="62"/>
        <item x="18"/>
        <item x="47"/>
        <item x="85"/>
        <item x="101"/>
        <item x="2"/>
        <item x="12"/>
        <item x="46"/>
        <item x="53"/>
        <item x="25"/>
        <item x="108"/>
        <item x="89"/>
        <item x="1"/>
        <item x="117"/>
        <item x="22"/>
        <item x="6"/>
        <item x="49"/>
        <item x="102"/>
        <item x="37"/>
        <item x="75"/>
        <item x="98"/>
        <item x="56"/>
        <item x="114"/>
        <item x="110"/>
        <item x="35"/>
        <item x="71"/>
        <item x="69"/>
        <item x="30"/>
        <item x="119"/>
        <item x="100"/>
        <item x="42"/>
        <item x="5"/>
        <item x="57"/>
        <item x="8"/>
        <item x="87"/>
        <item x="96"/>
        <item x="77"/>
        <item x="81"/>
        <item x="52"/>
        <item x="95"/>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h="1" x="5"/>
        <item h="1" x="4"/>
        <item h="1" x="0"/>
        <item h="1" x="6"/>
        <item h="1" x="1"/>
        <item h="1"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8"/>
  </rowFields>
  <rowItems count="2">
    <i>
      <x v="6"/>
    </i>
    <i t="grand">
      <x/>
    </i>
  </rowItems>
  <colFields count="1">
    <field x="17"/>
  </colFields>
  <colItems count="55">
    <i>
      <x v="3"/>
    </i>
    <i>
      <x v="4"/>
    </i>
    <i>
      <x v="5"/>
    </i>
    <i>
      <x v="6"/>
    </i>
    <i>
      <x v="11"/>
    </i>
    <i>
      <x v="14"/>
    </i>
    <i>
      <x v="15"/>
    </i>
    <i>
      <x v="17"/>
    </i>
    <i>
      <x v="18"/>
    </i>
    <i>
      <x v="19"/>
    </i>
    <i>
      <x v="22"/>
    </i>
    <i>
      <x v="24"/>
    </i>
    <i>
      <x v="29"/>
    </i>
    <i>
      <x v="30"/>
    </i>
    <i>
      <x v="31"/>
    </i>
    <i>
      <x v="34"/>
    </i>
    <i>
      <x v="35"/>
    </i>
    <i>
      <x v="36"/>
    </i>
    <i>
      <x v="39"/>
    </i>
    <i>
      <x v="42"/>
    </i>
    <i>
      <x v="43"/>
    </i>
    <i>
      <x v="44"/>
    </i>
    <i>
      <x v="47"/>
    </i>
    <i>
      <x v="48"/>
    </i>
    <i>
      <x v="49"/>
    </i>
    <i>
      <x v="50"/>
    </i>
    <i>
      <x v="51"/>
    </i>
    <i>
      <x v="52"/>
    </i>
    <i>
      <x v="54"/>
    </i>
    <i>
      <x v="55"/>
    </i>
    <i>
      <x v="56"/>
    </i>
    <i>
      <x v="64"/>
    </i>
    <i>
      <x v="71"/>
    </i>
    <i>
      <x v="74"/>
    </i>
    <i>
      <x v="77"/>
    </i>
    <i>
      <x v="80"/>
    </i>
    <i>
      <x v="83"/>
    </i>
    <i>
      <x v="87"/>
    </i>
    <i>
      <x v="88"/>
    </i>
    <i>
      <x v="91"/>
    </i>
    <i>
      <x v="93"/>
    </i>
    <i>
      <x v="96"/>
    </i>
    <i>
      <x v="97"/>
    </i>
    <i>
      <x v="100"/>
    </i>
    <i>
      <x v="106"/>
    </i>
    <i>
      <x v="108"/>
    </i>
    <i>
      <x v="110"/>
    </i>
    <i>
      <x v="111"/>
    </i>
    <i>
      <x v="113"/>
    </i>
    <i>
      <x v="114"/>
    </i>
    <i>
      <x v="115"/>
    </i>
    <i>
      <x v="117"/>
    </i>
    <i>
      <x v="118"/>
    </i>
    <i>
      <x v="119"/>
    </i>
    <i t="grand">
      <x/>
    </i>
  </colItems>
  <dataFields count="1">
    <dataField name="Conteggio di genu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20314-377E-4347-932C-50A8932C712B}" name="Tabella pivot2"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4" firstHeaderRow="1" firstDataRow="1" firstDataCol="1"/>
  <pivotFields count="5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dataField="1" showAll="0">
      <items count="11">
        <item x="3"/>
        <item x="4"/>
        <item x="8"/>
        <item x="6"/>
        <item x="5"/>
        <item x="9"/>
        <item x="0"/>
        <item x="7"/>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6"/>
  </rowFields>
  <rowItems count="11">
    <i>
      <x/>
    </i>
    <i>
      <x v="1"/>
    </i>
    <i>
      <x v="2"/>
    </i>
    <i>
      <x v="3"/>
    </i>
    <i>
      <x v="4"/>
    </i>
    <i>
      <x v="5"/>
    </i>
    <i>
      <x v="6"/>
    </i>
    <i>
      <x v="7"/>
    </i>
    <i>
      <x v="8"/>
    </i>
    <i>
      <x v="9"/>
    </i>
    <i t="grand">
      <x/>
    </i>
  </rowItems>
  <colItems count="1">
    <i/>
  </colItems>
  <dataFields count="1">
    <dataField name="Conteggio di country" fld="3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3D48E-3B1C-4082-A771-44F87CD28D49}" name="Tabella pivot4"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7">
  <location ref="A3:B56" firstHeaderRow="1" firstDataRow="1" firstDataCol="1"/>
  <pivotFields count="56">
    <pivotField showAll="0"/>
    <pivotField showAll="0"/>
    <pivotField showAll="0"/>
    <pivotField showAll="0"/>
    <pivotField showAll="0"/>
    <pivotField axis="axisRow" dataField="1" showAll="0">
      <items count="53">
        <item x="18"/>
        <item x="6"/>
        <item x="30"/>
        <item x="47"/>
        <item x="17"/>
        <item x="13"/>
        <item x="29"/>
        <item x="20"/>
        <item x="16"/>
        <item x="26"/>
        <item x="35"/>
        <item x="32"/>
        <item x="23"/>
        <item x="24"/>
        <item x="11"/>
        <item x="36"/>
        <item x="34"/>
        <item x="0"/>
        <item x="27"/>
        <item x="7"/>
        <item x="38"/>
        <item x="12"/>
        <item x="3"/>
        <item x="37"/>
        <item x="5"/>
        <item x="39"/>
        <item x="48"/>
        <item x="25"/>
        <item x="50"/>
        <item x="8"/>
        <item x="46"/>
        <item x="31"/>
        <item x="42"/>
        <item x="40"/>
        <item x="14"/>
        <item x="10"/>
        <item x="19"/>
        <item x="2"/>
        <item x="1"/>
        <item x="15"/>
        <item x="43"/>
        <item x="49"/>
        <item x="22"/>
        <item x="28"/>
        <item x="21"/>
        <item x="44"/>
        <item x="9"/>
        <item x="45"/>
        <item x="41"/>
        <item x="51"/>
        <item x="3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 " fld="5"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238C7-082B-4116-ADBE-8B89A0C82911}" name="Tabella pivot5"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61" firstHeaderRow="1" firstDataRow="1" firstDataCol="1"/>
  <pivotFields count="56">
    <pivotField showAll="0"/>
    <pivotField showAll="0"/>
    <pivotField showAll="0"/>
    <pivotField showAll="0"/>
    <pivotField showAll="0"/>
    <pivotField showAll="0"/>
    <pivotField showAll="0"/>
    <pivotField showAll="0"/>
    <pivotField showAll="0"/>
    <pivotField showAll="0"/>
    <pivotField axis="axisRow" dataField="1" showAll="0">
      <items count="158">
        <item x="117"/>
        <item x="22"/>
        <item x="72"/>
        <item x="135"/>
        <item x="116"/>
        <item x="104"/>
        <item x="43"/>
        <item x="78"/>
        <item x="40"/>
        <item x="35"/>
        <item x="38"/>
        <item x="56"/>
        <item x="114"/>
        <item x="100"/>
        <item x="85"/>
        <item x="52"/>
        <item x="28"/>
        <item x="98"/>
        <item x="99"/>
        <item x="84"/>
        <item x="29"/>
        <item x="34"/>
        <item x="39"/>
        <item x="46"/>
        <item x="53"/>
        <item x="30"/>
        <item x="18"/>
        <item x="67"/>
        <item x="63"/>
        <item x="86"/>
        <item x="145"/>
        <item x="133"/>
        <item x="130"/>
        <item x="59"/>
        <item x="60"/>
        <item x="91"/>
        <item x="148"/>
        <item x="92"/>
        <item x="109"/>
        <item x="20"/>
        <item x="83"/>
        <item x="151"/>
        <item x="141"/>
        <item x="89"/>
        <item x="102"/>
        <item x="7"/>
        <item x="139"/>
        <item x="142"/>
        <item x="140"/>
        <item x="80"/>
        <item x="87"/>
        <item x="126"/>
        <item x="137"/>
        <item x="11"/>
        <item x="51"/>
        <item x="156"/>
        <item x="155"/>
        <item x="4"/>
        <item x="15"/>
        <item x="41"/>
        <item x="76"/>
        <item x="75"/>
        <item x="21"/>
        <item x="134"/>
        <item x="16"/>
        <item x="144"/>
        <item x="24"/>
        <item x="113"/>
        <item x="66"/>
        <item x="64"/>
        <item x="25"/>
        <item x="0"/>
        <item x="49"/>
        <item x="97"/>
        <item x="58"/>
        <item x="115"/>
        <item x="93"/>
        <item x="95"/>
        <item x="13"/>
        <item x="77"/>
        <item x="132"/>
        <item x="73"/>
        <item x="146"/>
        <item x="149"/>
        <item x="107"/>
        <item x="33"/>
        <item x="45"/>
        <item x="44"/>
        <item x="103"/>
        <item x="82"/>
        <item x="81"/>
        <item x="111"/>
        <item x="112"/>
        <item x="123"/>
        <item x="47"/>
        <item x="3"/>
        <item x="69"/>
        <item x="27"/>
        <item x="122"/>
        <item x="17"/>
        <item x="32"/>
        <item x="10"/>
        <item x="154"/>
        <item x="9"/>
        <item x="14"/>
        <item x="153"/>
        <item x="79"/>
        <item x="19"/>
        <item x="55"/>
        <item x="106"/>
        <item x="105"/>
        <item x="128"/>
        <item x="2"/>
        <item x="12"/>
        <item x="54"/>
        <item x="62"/>
        <item x="26"/>
        <item x="50"/>
        <item x="136"/>
        <item x="110"/>
        <item x="1"/>
        <item x="143"/>
        <item x="150"/>
        <item x="23"/>
        <item x="6"/>
        <item x="57"/>
        <item x="129"/>
        <item x="42"/>
        <item x="94"/>
        <item x="125"/>
        <item x="124"/>
        <item x="65"/>
        <item x="147"/>
        <item x="138"/>
        <item x="37"/>
        <item x="36"/>
        <item x="90"/>
        <item x="88"/>
        <item x="31"/>
        <item x="152"/>
        <item x="131"/>
        <item x="127"/>
        <item x="48"/>
        <item x="5"/>
        <item x="70"/>
        <item x="71"/>
        <item x="74"/>
        <item x="68"/>
        <item x="8"/>
        <item x="108"/>
        <item x="120"/>
        <item x="118"/>
        <item x="121"/>
        <item x="119"/>
        <item x="96"/>
        <item x="101"/>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t="grand">
      <x/>
    </i>
  </rowItems>
  <colItems count="1">
    <i/>
  </colItems>
  <dataFields count="1">
    <dataField name="Conteggio di scientificName" fld="10" subtotal="count" baseField="0" baseItem="0"/>
  </dataFields>
  <formats count="2">
    <format dxfId="1">
      <pivotArea dataOnly="0" labelOnly="1" fieldPosition="0">
        <references count="1">
          <reference field="10" count="1">
            <x v="22"/>
          </reference>
        </references>
      </pivotArea>
    </format>
    <format dxfId="0">
      <pivotArea dataOnly="0" labelOnly="1" fieldPosition="0">
        <references count="1">
          <reference field="10" count="1">
            <x v="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608948-284A-48EA-80ED-0E6D70974F95}" name="tblDati" displayName="tblDati" ref="A1:BE298" totalsRowShown="0" headerRowDxfId="60" dataDxfId="59">
  <autoFilter ref="A1:BE298" xr:uid="{DD608948-284A-48EA-80ED-0E6D70974F95}"/>
  <sortState xmlns:xlrd2="http://schemas.microsoft.com/office/spreadsheetml/2017/richdata2" ref="A98:BE99">
    <sortCondition ref="R1:R298"/>
  </sortState>
  <tableColumns count="57">
    <tableColumn id="1" xr3:uid="{064E3BD9-88D3-47EB-9AA4-493DB6F9629E}" name="occurrenceID" dataDxfId="58"/>
    <tableColumn id="2" xr3:uid="{C9A44DA1-756B-4BCE-9510-8C5319B48EA6}" name="basisOfRecord" dataDxfId="57"/>
    <tableColumn id="3" xr3:uid="{FD41F8AD-7648-471B-BEE3-3DF4B9CC23D5}" name="eventDate" dataDxfId="56"/>
    <tableColumn id="4" xr3:uid="{9FE1531A-1546-40DA-AA86-CC2C6DFD95F3}" name="startDayOfYear" dataDxfId="55">
      <calculatedColumnFormula>IFERROR(C2-DATE(YEAR(C2),1,1)+1,"")</calculatedColumnFormula>
    </tableColumn>
    <tableColumn id="5" xr3:uid="{4C5DEB94-85D2-49F1-9CB2-E38281DFB5F1}" name="endDayOfYear" dataDxfId="54">
      <calculatedColumnFormula>IFERROR(C2-DATE(YEAR(C2),1,1)+1,"")</calculatedColumnFormula>
    </tableColumn>
    <tableColumn id="6" xr3:uid="{29458118-F327-4475-AF4C-610DAEC30965}" name="year" dataDxfId="53">
      <calculatedColumnFormula>IFERROR(IF(C2="","",IF(C2&lt;10000,C2,YEAR(C2))),"")</calculatedColumnFormula>
    </tableColumn>
    <tableColumn id="7" xr3:uid="{2394EDA7-1C4A-48C9-854A-B394B0A85DE0}" name="month" dataDxfId="52">
      <calculatedColumnFormula>IFERROR(MONTH(C2),"")</calculatedColumnFormula>
    </tableColumn>
    <tableColumn id="8" xr3:uid="{8AF9AA4D-430B-43B4-98E0-AFD936F81315}" name="day" dataDxfId="51">
      <calculatedColumnFormula>IFERROR(DAY(C2),"")</calculatedColumnFormula>
    </tableColumn>
    <tableColumn id="9" xr3:uid="{76906233-972F-41B3-ADB3-3673839A385C}" name="verbatimEventDate" dataDxfId="50">
      <calculatedColumnFormula>IF(C2="","",IF(C2&lt;10000,C2,C2))</calculatedColumnFormula>
    </tableColumn>
    <tableColumn id="10" xr3:uid="{A4F9606E-A60A-46CA-95AD-1F5765A61E0E}" name="scientificNameAuthorship" dataDxfId="49"/>
    <tableColumn id="11" xr3:uid="{9DE1232A-21A5-4242-9B87-3D32E8CE5EB3}" name="scientificName" dataDxfId="48">
      <calculatedColumnFormula>R2&amp;" "&amp;S2&amp;" "&amp;"("&amp;J2&amp;")"</calculatedColumnFormula>
    </tableColumn>
    <tableColumn id="12" xr3:uid="{81AB81F5-4AE2-4604-AE68-709488C44F02}" name="higherClassification" dataDxfId="47">
      <calculatedColumnFormula>M2&amp;"|"&amp;N2&amp;"|"&amp;O2&amp;"|"&amp;P2&amp;"|"&amp;Q2&amp;"|"&amp;R2</calculatedColumnFormula>
    </tableColumn>
    <tableColumn id="13" xr3:uid="{D4C9D0DC-925A-47F3-BA82-BA9539D30561}" name="kingdom" dataDxfId="46"/>
    <tableColumn id="14" xr3:uid="{2194FC3A-5844-48CA-8E06-483F7D4A09B8}" name="phylum" dataDxfId="45"/>
    <tableColumn id="15" xr3:uid="{80A5F4EE-A429-40D2-8E35-535A5D746655}" name="class" dataDxfId="44"/>
    <tableColumn id="16" xr3:uid="{91A47DA8-54A4-4544-85D4-407943DA0246}" name="order" dataDxfId="43"/>
    <tableColumn id="17" xr3:uid="{4CA02126-3992-43BB-B46A-E2C70C61E612}" name="family" dataDxfId="42"/>
    <tableColumn id="18" xr3:uid="{61A43279-1171-4C50-A176-9F3124B6BD65}" name="genus" dataDxfId="41"/>
    <tableColumn id="19" xr3:uid="{7FBF3188-4FF2-47AF-B438-D53C9CF12BDD}" name="specificEpithet" dataDxfId="40"/>
    <tableColumn id="20" xr3:uid="{50B32545-ABC6-4928-8919-7D21E31BA70B}" name="taxonRank" dataDxfId="39"/>
    <tableColumn id="21" xr3:uid="{4FFA9115-10AA-47C0-A7B9-793A9F5B1983}" name="vernacularName" dataDxfId="38"/>
    <tableColumn id="22" xr3:uid="{D0724F4D-77BD-481C-A756-6168363BD420}" name="identifiedBy" dataDxfId="37"/>
    <tableColumn id="23" xr3:uid="{979611BC-89AC-4C73-B660-987EDDD171AD}" name="nomenclaturalCode" dataDxfId="36"/>
    <tableColumn id="24" xr3:uid="{A619A539-B023-4696-A53E-622179C537DE}" name="decimalLatitude" dataDxfId="35"/>
    <tableColumn id="25" xr3:uid="{EA7DD085-A356-4882-9994-C602A8044CB7}" name="decimalLongitude" dataDxfId="34"/>
    <tableColumn id="26" xr3:uid="{335B9C14-69D1-40C7-965C-09F8D565BB5E}" name="geodeticDatum" dataDxfId="33"/>
    <tableColumn id="27" xr3:uid="{B41BD047-8C4D-4D89-A1D0-01FB51ADD52B}" name="coordinateUncertaintyInMeters" dataDxfId="32"/>
    <tableColumn id="28" xr3:uid="{7E17B273-CB41-4BC4-8B3F-9F0F03E59D03}" name="verbatimCoordinates" dataDxfId="31">
      <calculatedColumnFormula>X2&amp;"/"&amp;Y2</calculatedColumnFormula>
    </tableColumn>
    <tableColumn id="29" xr3:uid="{F1DF88D9-559E-4CBD-B844-FB531D7A00CC}" name="verbatimCoordinateSystem" dataDxfId="30"/>
    <tableColumn id="30" xr3:uid="{D3AF378A-01D9-49F9-BE8F-632BA928759E}" name="georeferencedDate" dataDxfId="29"/>
    <tableColumn id="31" xr3:uid="{F8709041-6E47-4C7F-9E68-D62DAEA69A83}" name="georeferenceProtocol" dataDxfId="28"/>
    <tableColumn id="32" xr3:uid="{86CB0FEA-C575-4518-8154-030EA223F628}" name="georeferenceSources" dataDxfId="27"/>
    <tableColumn id="33" xr3:uid="{D425EEC3-4DA0-41B9-940C-9EDB3751DA4D}" name="georeferenceVerificationStatus" dataDxfId="26"/>
    <tableColumn id="34" xr3:uid="{5E017D25-67E8-4FC2-AE54-D5DC39C928F9}" name="higherGeography" dataDxfId="25">
      <calculatedColumnFormula>_xlfn.TEXTJOIN(" | ",TRUE,AI2,AJ2,AK2,AM2,AN2)</calculatedColumnFormula>
    </tableColumn>
    <tableColumn id="35" xr3:uid="{3D0519B7-4CA1-4FD1-A408-C799C7AE092D}" name="continent" dataDxfId="24"/>
    <tableColumn id="36" xr3:uid="{29717289-7D8B-4682-95FD-9B92031B1206}" name="island" dataDxfId="23"/>
    <tableColumn id="37" xr3:uid="{2130A9EE-7D34-4502-B69F-807C4641E2AB}" name="country" dataDxfId="22"/>
    <tableColumn id="38" xr3:uid="{9C8929FA-DFCA-4B39-A94F-0DFFD8D603A6}" name="countryCode" dataDxfId="21">
      <calculatedColumnFormula>IF(TRIM(AK2)="Italy","ITA",IF(TRIM(AK2)="Venezuela","VEN",IF(TRIM(AK2)="Brazil","BRA",IF(TRIM(AK2)="Ethiopia","ETH",IF(TRIM(AK2)="Equador","ECU",IF(TRIM(AK2)="France","FRA",IF(TRIM(AK2)="Australia","AUS",IF(TRIM(AK2)="Guatemala","GTM",IF(TRIM(AK2)="Antartica","AQ")))))))))</calculatedColumnFormula>
    </tableColumn>
    <tableColumn id="39" xr3:uid="{2B817836-14FA-4BAD-BE09-6A18D4BD9898}" name="stateProvince" dataDxfId="20"/>
    <tableColumn id="40" xr3:uid="{F04A68B1-4465-44C0-8A76-7CA278698139}" name="locality" dataDxfId="19"/>
    <tableColumn id="41" xr3:uid="{98B54F47-AED3-4267-8A93-CE7C823BA96F}" name="type" dataDxfId="18"/>
    <tableColumn id="42" xr3:uid="{3F9B0230-67D5-495A-888A-26902C9C44F2}" name="language" dataDxfId="17"/>
    <tableColumn id="43" xr3:uid="{FA85D3EC-65F2-48CF-99CF-E63C661EAE4D}" name="institutionID" dataDxfId="16"/>
    <tableColumn id="44" xr3:uid="{D4BBA0B4-1A61-400B-A3C1-484BE56F5364}" name="collectionCode" dataDxfId="15"/>
    <tableColumn id="45" xr3:uid="{F7F47290-BD9B-45EB-BB0E-53E9F8698DD9}" name="catalogNumber" dataDxfId="14"/>
    <tableColumn id="46" xr3:uid="{3AB07129-F0C2-42CA-B8A3-185BAED49C08}" name="sex" dataDxfId="13"/>
    <tableColumn id="47" xr3:uid="{047D90A0-83D2-433A-B36F-22EE90BF2FCA}" name="organismID" dataDxfId="12"/>
    <tableColumn id="48" xr3:uid="{F3AF9B6C-040F-4EC0-BABB-B5B8562E8F48}" name="individualCount" dataDxfId="11"/>
    <tableColumn id="49" xr3:uid="{41951C94-2CBA-436A-BBD6-CE577A9C593E}" name="organismQuantity" dataDxfId="10"/>
    <tableColumn id="50" xr3:uid="{07ECFAF2-9474-49CC-B01D-949A2FEF024C}" name="organismQuantityType" dataDxfId="9"/>
    <tableColumn id="51" xr3:uid="{ED30E20A-8825-458F-B0D9-012FFA523540}" name="samplingProtocol" dataDxfId="8"/>
    <tableColumn id="52" xr3:uid="{15B5AE1F-3AC0-403B-A1E6-88A69C0625BE}" name="preparations" dataDxfId="7"/>
    <tableColumn id="53" xr3:uid="{5C59164A-9139-446E-8FF4-04E98EAFAB51}" name="lifeStage" dataDxfId="6"/>
    <tableColumn id="54" xr3:uid="{1F11DCDE-11D7-4F32-9F6E-3942FA242198}" name="otherCatalogNumbers" dataDxfId="5"/>
    <tableColumn id="55" xr3:uid="{8B3382CB-D74C-4A4C-9FF5-E82895A30D7F}" name="associatedMedia_1" dataDxfId="4"/>
    <tableColumn id="56" xr3:uid="{75C0FAE0-F4AE-4F38-827E-29A6BC2A60F0}" name="associatedMedia_2" dataDxfId="3"/>
    <tableColumn id="57" xr3:uid="{91F261C1-00E9-428E-91EC-7E738BD5E983}" name="occurrenceRemarks" dataDxfId="2"/>
  </tableColumns>
  <tableStyleInfo name="TableStyleLight1"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Sapienza-BBCD/MZUR-Ornitology/raw/main/img/MZURORN2025-060_1.jpg" TargetMode="External"/><Relationship Id="rId21" Type="http://schemas.openxmlformats.org/officeDocument/2006/relationships/hyperlink" Target="https://github.com/Sapienza-BBCD/MZUR-Ornitology/raw/main/img/MZURORN2025-011_1.jpg" TargetMode="External"/><Relationship Id="rId324" Type="http://schemas.openxmlformats.org/officeDocument/2006/relationships/hyperlink" Target="https://github.com/Sapienza-BBCD/MZUR-Ornitology/raw/main/img/MZURORN2025-163_2.jpg" TargetMode="External"/><Relationship Id="rId531" Type="http://schemas.openxmlformats.org/officeDocument/2006/relationships/hyperlink" Target="https://github.com/Sapienza-BBCD/MZUR-Ornitology/raw/main/img/MZURORN2025-267_1.jpg" TargetMode="External"/><Relationship Id="rId170" Type="http://schemas.openxmlformats.org/officeDocument/2006/relationships/hyperlink" Target="https://github.com/Sapienza-BBCD/MZUR-Ornitology/raw/main/img/MZURORN2025-086_2.jpg" TargetMode="External"/><Relationship Id="rId268" Type="http://schemas.openxmlformats.org/officeDocument/2006/relationships/hyperlink" Target="https://github.com/Sapienza-BBCD/MZUR-Ornitology/raw/main/img/MZURORN2025-135_2.jpg" TargetMode="External"/><Relationship Id="rId475" Type="http://schemas.openxmlformats.org/officeDocument/2006/relationships/hyperlink" Target="https://github.com/Sapienza-BBCD/MZUR-Ornitology/raw/main/img/MZURORN2025-239_1.jpg" TargetMode="External"/><Relationship Id="rId32" Type="http://schemas.openxmlformats.org/officeDocument/2006/relationships/hyperlink" Target="https://github.com/Sapienza-BBCD/MZUR-Ornitology/raw/main/img/MZURORN2025-016_2.jpg" TargetMode="External"/><Relationship Id="rId128" Type="http://schemas.openxmlformats.org/officeDocument/2006/relationships/hyperlink" Target="https://github.com/Sapienza-BBCD/MZUR-Ornitology/raw/main/img/MZURORN2025-065_2.jpg" TargetMode="External"/><Relationship Id="rId335" Type="http://schemas.openxmlformats.org/officeDocument/2006/relationships/hyperlink" Target="https://github.com/Sapienza-BBCD/MZUR-Ornitology/raw/main/img/MZURORN2025-169_1.jpg" TargetMode="External"/><Relationship Id="rId542" Type="http://schemas.openxmlformats.org/officeDocument/2006/relationships/hyperlink" Target="https://github.com/Sapienza-BBCD/MZUR-Ornitology/raw/main/img/MZURORN2025-272_2.jpg" TargetMode="External"/><Relationship Id="rId181" Type="http://schemas.openxmlformats.org/officeDocument/2006/relationships/hyperlink" Target="https://github.com/Sapienza-BBCD/MZUR-Ornitology/raw/main/img/MZURORN2025-092_1.jpg" TargetMode="External"/><Relationship Id="rId402" Type="http://schemas.openxmlformats.org/officeDocument/2006/relationships/hyperlink" Target="https://github.com/Sapienza-BBCD/MZUR-Ornitology/raw/main/img/MZURORN2025-202_2.jpg" TargetMode="External"/><Relationship Id="rId279" Type="http://schemas.openxmlformats.org/officeDocument/2006/relationships/hyperlink" Target="https://github.com/Sapienza-BBCD/MZUR-Ornitology/raw/main/img/MZURORN2025-141_1.jpg" TargetMode="External"/><Relationship Id="rId486" Type="http://schemas.openxmlformats.org/officeDocument/2006/relationships/hyperlink" Target="https://github.com/Sapienza-BBCD/MZUR-Ornitology/raw/main/img/MZURORN2025-244_2.jpg" TargetMode="External"/><Relationship Id="rId43" Type="http://schemas.openxmlformats.org/officeDocument/2006/relationships/hyperlink" Target="https://github.com/Sapienza-BBCD/MZUR-Ornitology/raw/main/img/MZURORN2025-022_1.jpg" TargetMode="External"/><Relationship Id="rId139" Type="http://schemas.openxmlformats.org/officeDocument/2006/relationships/hyperlink" Target="https://github.com/Sapienza-BBCD/MZUR-Ornitology/raw/main/img/MZURORN2025-071_1.jpg" TargetMode="External"/><Relationship Id="rId346" Type="http://schemas.openxmlformats.org/officeDocument/2006/relationships/hyperlink" Target="https://github.com/Sapienza-BBCD/MZUR-Ornitology/raw/main/img/MZURORN2025-174_2.jpg" TargetMode="External"/><Relationship Id="rId553" Type="http://schemas.openxmlformats.org/officeDocument/2006/relationships/hyperlink" Target="https://github.com/Sapienza-BBCD/MZUR-Ornitology/raw/main/img/MZURORN2025-278_1.jpg" TargetMode="External"/><Relationship Id="rId192" Type="http://schemas.openxmlformats.org/officeDocument/2006/relationships/hyperlink" Target="https://github.com/Sapienza-BBCD/MZUR-Ornitology/raw/main/img/MZURORN2025-097_2.jpg" TargetMode="External"/><Relationship Id="rId206" Type="http://schemas.openxmlformats.org/officeDocument/2006/relationships/hyperlink" Target="https://github.com/Sapienza-BBCD/MZUR-Ornitology/raw/main/img/MZURORN2025-104_2.jpg" TargetMode="External"/><Relationship Id="rId413" Type="http://schemas.openxmlformats.org/officeDocument/2006/relationships/hyperlink" Target="https://github.com/Sapienza-BBCD/MZUR-Ornitology/raw/main/img/MZURORN2025-208_1.jpg" TargetMode="External"/><Relationship Id="rId497" Type="http://schemas.openxmlformats.org/officeDocument/2006/relationships/hyperlink" Target="https://github.com/Sapienza-BBCD/MZUR-Ornitology/raw/main/img/MZURORN2025-250_1.jpg" TargetMode="External"/><Relationship Id="rId357" Type="http://schemas.openxmlformats.org/officeDocument/2006/relationships/hyperlink" Target="https://github.com/Sapienza-BBCD/MZUR-Ornitology/raw/main/img/MZURORN2025-180_1.jpg" TargetMode="External"/><Relationship Id="rId54" Type="http://schemas.openxmlformats.org/officeDocument/2006/relationships/hyperlink" Target="https://github.com/Sapienza-BBCD/MZUR-Ornitology/raw/main/img/MZURORN2025-027_2.jpg" TargetMode="External"/><Relationship Id="rId217" Type="http://schemas.openxmlformats.org/officeDocument/2006/relationships/hyperlink" Target="https://github.com/Sapienza-BBCD/MZUR-Ornitology/raw/main/img/MZURORN2025-110_1.jpg" TargetMode="External"/><Relationship Id="rId564" Type="http://schemas.openxmlformats.org/officeDocument/2006/relationships/hyperlink" Target="https://github.com/Sapienza-BBCD/MZUR-Ornitology/raw/main/img/MZURORN2025-283_2.jpg" TargetMode="External"/><Relationship Id="rId424" Type="http://schemas.openxmlformats.org/officeDocument/2006/relationships/hyperlink" Target="https://github.com/Sapienza-BBCD/MZUR-Ornitology/raw/main/img/MZURORN2025-213_2.jpg" TargetMode="External"/><Relationship Id="rId270" Type="http://schemas.openxmlformats.org/officeDocument/2006/relationships/hyperlink" Target="https://github.com/Sapienza-BBCD/MZUR-Ornitology/raw/main/img/MZURORN2025-136_2.jpg" TargetMode="External"/><Relationship Id="rId65" Type="http://schemas.openxmlformats.org/officeDocument/2006/relationships/hyperlink" Target="https://github.com/Sapienza-BBCD/MZUR-Ornitology/raw/main/img/MZURORN2025-033_1.jpg" TargetMode="External"/><Relationship Id="rId130" Type="http://schemas.openxmlformats.org/officeDocument/2006/relationships/hyperlink" Target="https://github.com/Sapienza-BBCD/MZUR-Ornitology/raw/main/img/MZURORN2025-066_2.jpg" TargetMode="External"/><Relationship Id="rId368" Type="http://schemas.openxmlformats.org/officeDocument/2006/relationships/hyperlink" Target="https://github.com/Sapienza-BBCD/MZUR-Ornitology/raw/main/img/MZURORN2025-185_2.jpg" TargetMode="External"/><Relationship Id="rId575" Type="http://schemas.openxmlformats.org/officeDocument/2006/relationships/hyperlink" Target="https://github.com/Sapienza-BBCD/MZUR-Ornitology/raw/main/img/MZURORN2025-289_1.jpg" TargetMode="External"/><Relationship Id="rId228" Type="http://schemas.openxmlformats.org/officeDocument/2006/relationships/hyperlink" Target="https://github.com/Sapienza-BBCD/MZUR-Ornitology/raw/main/img/MZURORN2025-115_2.jpg" TargetMode="External"/><Relationship Id="rId435" Type="http://schemas.openxmlformats.org/officeDocument/2006/relationships/hyperlink" Target="https://github.com/Sapienza-BBCD/MZUR-Ornitology/raw/main/img/MZURORN2025-219_1.jpg" TargetMode="External"/><Relationship Id="rId281" Type="http://schemas.openxmlformats.org/officeDocument/2006/relationships/hyperlink" Target="https://github.com/Sapienza-BBCD/MZUR-Ornitology/raw/main/img/MZURORN2025-142_1.jpg" TargetMode="External"/><Relationship Id="rId502" Type="http://schemas.openxmlformats.org/officeDocument/2006/relationships/hyperlink" Target="https://github.com/Sapienza-BBCD/MZUR-Ornitology/raw/main/img/MZURORN2025-252_2.jpg" TargetMode="External"/><Relationship Id="rId76" Type="http://schemas.openxmlformats.org/officeDocument/2006/relationships/hyperlink" Target="https://github.com/Sapienza-BBCD/MZUR-Ornitology/raw/main/img/MZURORN2025-038_2.jpg" TargetMode="External"/><Relationship Id="rId141" Type="http://schemas.openxmlformats.org/officeDocument/2006/relationships/hyperlink" Target="https://github.com/Sapienza-BBCD/MZUR-Ornitology/raw/main/img/MZURORN2025-072_1.jpg" TargetMode="External"/><Relationship Id="rId379" Type="http://schemas.openxmlformats.org/officeDocument/2006/relationships/hyperlink" Target="https://github.com/Sapienza-BBCD/MZUR-Ornitology/raw/main/img/MZURORN2025-191_1.jpg" TargetMode="External"/><Relationship Id="rId586" Type="http://schemas.openxmlformats.org/officeDocument/2006/relationships/hyperlink" Target="https://github.com/Sapienza-BBCD/MZUR-Ornitology/raw/main/img/MZURORN2025-294_2.jpg" TargetMode="External"/><Relationship Id="rId7" Type="http://schemas.openxmlformats.org/officeDocument/2006/relationships/hyperlink" Target="https://github.com/Sapienza-BBCD/MZUR-Ornitology/raw/main/img/MZURORN2025-004_1.jpg" TargetMode="External"/><Relationship Id="rId239" Type="http://schemas.openxmlformats.org/officeDocument/2006/relationships/hyperlink" Target="https://github.com/Sapienza-BBCD/MZUR-Ornitology/raw/main/img/MZURORN2025-121_1.jpg" TargetMode="External"/><Relationship Id="rId446" Type="http://schemas.openxmlformats.org/officeDocument/2006/relationships/hyperlink" Target="https://github.com/Sapienza-BBCD/MZUR-Ornitology/raw/main/img/MZURORN2025-224_2.jpg" TargetMode="External"/><Relationship Id="rId292" Type="http://schemas.openxmlformats.org/officeDocument/2006/relationships/hyperlink" Target="https://github.com/Sapienza-BBCD/MZUR-Ornitology/raw/main/img/MZURORN2025-147_2.jpg" TargetMode="External"/><Relationship Id="rId306" Type="http://schemas.openxmlformats.org/officeDocument/2006/relationships/hyperlink" Target="https://github.com/Sapienza-BBCD/MZUR-Ornitology/raw/main/img/MZURORN2025-154_2.jpg" TargetMode="External"/><Relationship Id="rId87" Type="http://schemas.openxmlformats.org/officeDocument/2006/relationships/hyperlink" Target="https://github.com/Sapienza-BBCD/MZUR-Ornitology/raw/main/img/MZURORN2025-044_1.jpg" TargetMode="External"/><Relationship Id="rId513" Type="http://schemas.openxmlformats.org/officeDocument/2006/relationships/hyperlink" Target="https://github.com/Sapienza-BBCD/MZUR-Ornitology/raw/main/img/MZURORN2025-258_1.jpg" TargetMode="External"/><Relationship Id="rId597" Type="http://schemas.openxmlformats.org/officeDocument/2006/relationships/table" Target="../tables/table1.xml"/><Relationship Id="rId152" Type="http://schemas.openxmlformats.org/officeDocument/2006/relationships/hyperlink" Target="https://github.com/Sapienza-BBCD/MZUR-Ornitology/raw/main/img/MZURORN2025-077_2.jpg" TargetMode="External"/><Relationship Id="rId457" Type="http://schemas.openxmlformats.org/officeDocument/2006/relationships/hyperlink" Target="https://github.com/Sapienza-BBCD/MZUR-Ornitology/raw/main/img/MZURORN2025-230_1.jpg" TargetMode="External"/><Relationship Id="rId261" Type="http://schemas.openxmlformats.org/officeDocument/2006/relationships/hyperlink" Target="https://github.com/Sapienza-BBCD/MZUR-Ornitology/raw/main/img/MZURORN2025-132_1.jpg" TargetMode="External"/><Relationship Id="rId499" Type="http://schemas.openxmlformats.org/officeDocument/2006/relationships/hyperlink" Target="https://github.com/Sapienza-BBCD/MZUR-Ornitology/raw/main/img/MZURORN2025-251_1.jpg" TargetMode="External"/><Relationship Id="rId14" Type="http://schemas.openxmlformats.org/officeDocument/2006/relationships/hyperlink" Target="https://github.com/Sapienza-BBCD/MZUR-Ornitology/raw/main/img/MZURORN2025-007_2.jpg" TargetMode="External"/><Relationship Id="rId56" Type="http://schemas.openxmlformats.org/officeDocument/2006/relationships/hyperlink" Target="https://github.com/Sapienza-BBCD/MZUR-Ornitology/raw/main/img/MZURORN2025-028_2.jpg" TargetMode="External"/><Relationship Id="rId317" Type="http://schemas.openxmlformats.org/officeDocument/2006/relationships/hyperlink" Target="https://github.com/Sapienza-BBCD/MZUR-Ornitology/raw/main/img/MZURORN2025-160_1.jpg" TargetMode="External"/><Relationship Id="rId359" Type="http://schemas.openxmlformats.org/officeDocument/2006/relationships/hyperlink" Target="https://github.com/Sapienza-BBCD/MZUR-Ornitology/raw/main/img/MZURORN2025-181_1.jpg" TargetMode="External"/><Relationship Id="rId524" Type="http://schemas.openxmlformats.org/officeDocument/2006/relationships/hyperlink" Target="https://github.com/Sapienza-BBCD/MZUR-Ornitology/raw/main/img/MZURORN2025-263_2.jpg" TargetMode="External"/><Relationship Id="rId566" Type="http://schemas.openxmlformats.org/officeDocument/2006/relationships/hyperlink" Target="https://github.com/Sapienza-BBCD/MZUR-Ornitology/raw/main/img/MZURORN2025-284_2.jpg" TargetMode="External"/><Relationship Id="rId98" Type="http://schemas.openxmlformats.org/officeDocument/2006/relationships/hyperlink" Target="https://github.com/Sapienza-BBCD/MZUR-Ornitology/raw/main/img/MZURORN2025-049_2.jpg" TargetMode="External"/><Relationship Id="rId121" Type="http://schemas.openxmlformats.org/officeDocument/2006/relationships/hyperlink" Target="https://github.com/Sapienza-BBCD/MZUR-Ornitology/raw/main/img/MZURORN2025-062_1.jpg" TargetMode="External"/><Relationship Id="rId163" Type="http://schemas.openxmlformats.org/officeDocument/2006/relationships/hyperlink" Target="https://github.com/Sapienza-BBCD/MZUR-Ornitology/raw/main/img/MZURORN2025-083_1.jpg" TargetMode="External"/><Relationship Id="rId219" Type="http://schemas.openxmlformats.org/officeDocument/2006/relationships/hyperlink" Target="https://github.com/Sapienza-BBCD/MZUR-Ornitology/raw/main/img/MZURORN2025-111_1.jpg" TargetMode="External"/><Relationship Id="rId370" Type="http://schemas.openxmlformats.org/officeDocument/2006/relationships/hyperlink" Target="https://github.com/Sapienza-BBCD/MZUR-Ornitology/raw/main/img/MZURORN2025-186_2.jpg" TargetMode="External"/><Relationship Id="rId426" Type="http://schemas.openxmlformats.org/officeDocument/2006/relationships/hyperlink" Target="https://github.com/Sapienza-BBCD/MZUR-Ornitology/raw/main/img/MZURORN2025-214_2.jpg" TargetMode="External"/><Relationship Id="rId230" Type="http://schemas.openxmlformats.org/officeDocument/2006/relationships/hyperlink" Target="https://github.com/Sapienza-BBCD/MZUR-Ornitology/raw/main/img/MZURORN2025-116_2.jpg" TargetMode="External"/><Relationship Id="rId468" Type="http://schemas.openxmlformats.org/officeDocument/2006/relationships/hyperlink" Target="https://github.com/Sapienza-BBCD/MZUR-Ornitology/raw/main/img/MZURORN2025-235_2.jpg" TargetMode="External"/><Relationship Id="rId25" Type="http://schemas.openxmlformats.org/officeDocument/2006/relationships/hyperlink" Target="https://github.com/Sapienza-BBCD/MZUR-Ornitology/raw/main/img/MZURORN2025-013_1.jpg" TargetMode="External"/><Relationship Id="rId67" Type="http://schemas.openxmlformats.org/officeDocument/2006/relationships/hyperlink" Target="https://github.com/Sapienza-BBCD/MZUR-Ornitology/raw/main/img/MZURORN2025-034_1.jpg" TargetMode="External"/><Relationship Id="rId272" Type="http://schemas.openxmlformats.org/officeDocument/2006/relationships/hyperlink" Target="https://github.com/Sapienza-BBCD/MZUR-Ornitology/raw/main/img/MZURORN2025-137_2.jpg" TargetMode="External"/><Relationship Id="rId328" Type="http://schemas.openxmlformats.org/officeDocument/2006/relationships/hyperlink" Target="https://github.com/Sapienza-BBCD/MZUR-Ornitology/raw/main/img/MZURORN2025-165_2.jpg" TargetMode="External"/><Relationship Id="rId535" Type="http://schemas.openxmlformats.org/officeDocument/2006/relationships/hyperlink" Target="https://github.com/Sapienza-BBCD/MZUR-Ornitology/raw/main/img/MZURORN2025-269_1.jpg" TargetMode="External"/><Relationship Id="rId577" Type="http://schemas.openxmlformats.org/officeDocument/2006/relationships/hyperlink" Target="https://github.com/Sapienza-BBCD/MZUR-Ornitology/raw/main/img/MZURORN2025-290_1.jpg" TargetMode="External"/><Relationship Id="rId132" Type="http://schemas.openxmlformats.org/officeDocument/2006/relationships/hyperlink" Target="https://github.com/Sapienza-BBCD/MZUR-Ornitology/raw/main/img/MZURORN2025-067_2.jpg" TargetMode="External"/><Relationship Id="rId174" Type="http://schemas.openxmlformats.org/officeDocument/2006/relationships/hyperlink" Target="https://github.com/Sapienza-BBCD/MZUR-Ornitology/raw/main/img/MZURORN2025-088_2.jpg" TargetMode="External"/><Relationship Id="rId381" Type="http://schemas.openxmlformats.org/officeDocument/2006/relationships/hyperlink" Target="https://github.com/Sapienza-BBCD/MZUR-Ornitology/raw/main/img/MZURORN2025-192_1.jpg" TargetMode="External"/><Relationship Id="rId241" Type="http://schemas.openxmlformats.org/officeDocument/2006/relationships/hyperlink" Target="https://github.com/Sapienza-BBCD/MZUR-Ornitology/raw/main/img/MZURORN2025-122_1.jpg" TargetMode="External"/><Relationship Id="rId437" Type="http://schemas.openxmlformats.org/officeDocument/2006/relationships/hyperlink" Target="https://github.com/Sapienza-BBCD/MZUR-Ornitology/raw/main/img/MZURORN2025-220_1.jpg" TargetMode="External"/><Relationship Id="rId479" Type="http://schemas.openxmlformats.org/officeDocument/2006/relationships/hyperlink" Target="https://github.com/Sapienza-BBCD/MZUR-Ornitology/raw/main/img/MZURORN2025-241_1.jpg" TargetMode="External"/><Relationship Id="rId36" Type="http://schemas.openxmlformats.org/officeDocument/2006/relationships/hyperlink" Target="https://github.com/Sapienza-BBCD/MZUR-Ornitology/raw/main/img/MZURORN2025-018_2.jpg" TargetMode="External"/><Relationship Id="rId283" Type="http://schemas.openxmlformats.org/officeDocument/2006/relationships/hyperlink" Target="https://github.com/Sapienza-BBCD/MZUR-Ornitology/raw/main/img/MZURORN2025-143_1.jpg" TargetMode="External"/><Relationship Id="rId339" Type="http://schemas.openxmlformats.org/officeDocument/2006/relationships/hyperlink" Target="https://github.com/Sapienza-BBCD/MZUR-Ornitology/raw/main/img/MZURORN2025-171_1.jpg" TargetMode="External"/><Relationship Id="rId490" Type="http://schemas.openxmlformats.org/officeDocument/2006/relationships/hyperlink" Target="https://github.com/Sapienza-BBCD/MZUR-Ornitology/raw/main/img/MZURORN2025-246_2.jpg" TargetMode="External"/><Relationship Id="rId504" Type="http://schemas.openxmlformats.org/officeDocument/2006/relationships/hyperlink" Target="https://github.com/Sapienza-BBCD/MZUR-Ornitology/raw/main/img/MZURORN2025-253_2.jpg" TargetMode="External"/><Relationship Id="rId546" Type="http://schemas.openxmlformats.org/officeDocument/2006/relationships/hyperlink" Target="https://github.com/Sapienza-BBCD/MZUR-Ornitology/raw/main/img/MZURORN2025-274_2.jpg" TargetMode="External"/><Relationship Id="rId78" Type="http://schemas.openxmlformats.org/officeDocument/2006/relationships/hyperlink" Target="https://github.com/Sapienza-BBCD/MZUR-Ornitology/raw/main/img/MZURORN2025-039_2.jpg" TargetMode="External"/><Relationship Id="rId101" Type="http://schemas.openxmlformats.org/officeDocument/2006/relationships/hyperlink" Target="https://github.com/Sapienza-BBCD/MZUR-Ornitology/raw/main/img/MZURORN2025-051_1.jpg" TargetMode="External"/><Relationship Id="rId143" Type="http://schemas.openxmlformats.org/officeDocument/2006/relationships/hyperlink" Target="https://github.com/Sapienza-BBCD/MZUR-Ornitology/raw/main/img/MZURORN2025-073_1.jpg" TargetMode="External"/><Relationship Id="rId185" Type="http://schemas.openxmlformats.org/officeDocument/2006/relationships/hyperlink" Target="https://github.com/Sapienza-BBCD/MZUR-Ornitology/raw/main/img/MZURORN2025-094_1.jpg" TargetMode="External"/><Relationship Id="rId350" Type="http://schemas.openxmlformats.org/officeDocument/2006/relationships/hyperlink" Target="https://github.com/Sapienza-BBCD/MZUR-Ornitology/raw/main/img/MZURORN2025-176_2.jpg" TargetMode="External"/><Relationship Id="rId406" Type="http://schemas.openxmlformats.org/officeDocument/2006/relationships/hyperlink" Target="https://github.com/Sapienza-BBCD/MZUR-Ornitology/raw/main/img/MZURORN2025-204_2.jpg" TargetMode="External"/><Relationship Id="rId588" Type="http://schemas.openxmlformats.org/officeDocument/2006/relationships/hyperlink" Target="https://github.com/Sapienza-BBCD/MZUR-Ornitology/raw/main/img/MZURORN2025-295_2.jpg" TargetMode="External"/><Relationship Id="rId9" Type="http://schemas.openxmlformats.org/officeDocument/2006/relationships/hyperlink" Target="https://github.com/Sapienza-BBCD/MZUR-Ornitology/raw/main/img/MZURORN2025-005_1.jpg" TargetMode="External"/><Relationship Id="rId210" Type="http://schemas.openxmlformats.org/officeDocument/2006/relationships/hyperlink" Target="https://github.com/Sapienza-BBCD/MZUR-Ornitology/raw/main/img/MZURORN2025-106_2.jpg" TargetMode="External"/><Relationship Id="rId392" Type="http://schemas.openxmlformats.org/officeDocument/2006/relationships/hyperlink" Target="https://github.com/Sapienza-BBCD/MZUR-Ornitology/raw/main/img/MZURORN2025-197_2.jpg" TargetMode="External"/><Relationship Id="rId448" Type="http://schemas.openxmlformats.org/officeDocument/2006/relationships/hyperlink" Target="https://github.com/Sapienza-BBCD/MZUR-Ornitology/raw/main/img/MZURORN2025-225_2.jpg" TargetMode="External"/><Relationship Id="rId252" Type="http://schemas.openxmlformats.org/officeDocument/2006/relationships/hyperlink" Target="https://github.com/Sapienza-BBCD/MZUR-Ornitology/raw/main/img/MZURORN2025-127_2.jpg" TargetMode="External"/><Relationship Id="rId294" Type="http://schemas.openxmlformats.org/officeDocument/2006/relationships/hyperlink" Target="https://github.com/Sapienza-BBCD/MZUR-Ornitology/raw/main/img/MZURORN2025-148_2.jpg" TargetMode="External"/><Relationship Id="rId308" Type="http://schemas.openxmlformats.org/officeDocument/2006/relationships/hyperlink" Target="https://github.com/Sapienza-BBCD/MZUR-Ornitology/raw/main/img/MZURORN2025-155_2.jpg" TargetMode="External"/><Relationship Id="rId515" Type="http://schemas.openxmlformats.org/officeDocument/2006/relationships/hyperlink" Target="https://github.com/Sapienza-BBCD/MZUR-Ornitology/raw/main/img/MZURORN2025-259_1.jpg" TargetMode="External"/><Relationship Id="rId47" Type="http://schemas.openxmlformats.org/officeDocument/2006/relationships/hyperlink" Target="https://github.com/Sapienza-BBCD/MZUR-Ornitology/raw/main/img/MZURORN2025-024_1.jpg" TargetMode="External"/><Relationship Id="rId89" Type="http://schemas.openxmlformats.org/officeDocument/2006/relationships/hyperlink" Target="https://github.com/Sapienza-BBCD/MZUR-Ornitology/raw/main/img/MZURORN2025-045_1.jpg" TargetMode="External"/><Relationship Id="rId112" Type="http://schemas.openxmlformats.org/officeDocument/2006/relationships/hyperlink" Target="https://github.com/Sapienza-BBCD/MZUR-Ornitology/raw/main/img/MZURORN2025-056_2.jpg" TargetMode="External"/><Relationship Id="rId154" Type="http://schemas.openxmlformats.org/officeDocument/2006/relationships/hyperlink" Target="https://github.com/Sapienza-BBCD/MZUR-Ornitology/raw/main/img/MZURORN2025-078_2.jpg" TargetMode="External"/><Relationship Id="rId361" Type="http://schemas.openxmlformats.org/officeDocument/2006/relationships/hyperlink" Target="https://github.com/Sapienza-BBCD/MZUR-Ornitology/raw/main/img/MZURORN2025-182_1.jpg" TargetMode="External"/><Relationship Id="rId557" Type="http://schemas.openxmlformats.org/officeDocument/2006/relationships/hyperlink" Target="https://github.com/Sapienza-BBCD/MZUR-Ornitology/raw/main/img/MZURORN2025-280_1.jpg" TargetMode="External"/><Relationship Id="rId196" Type="http://schemas.openxmlformats.org/officeDocument/2006/relationships/hyperlink" Target="https://github.com/Sapienza-BBCD/MZUR-Ornitology/raw/main/img/MZURORN2025-099_2.jpg" TargetMode="External"/><Relationship Id="rId417" Type="http://schemas.openxmlformats.org/officeDocument/2006/relationships/hyperlink" Target="https://github.com/Sapienza-BBCD/MZUR-Ornitology/raw/main/img/MZURORN2025-210_1.jpg" TargetMode="External"/><Relationship Id="rId459" Type="http://schemas.openxmlformats.org/officeDocument/2006/relationships/hyperlink" Target="https://github.com/Sapienza-BBCD/MZUR-Ornitology/raw/main/img/MZURORN2025-231_1.jpg" TargetMode="External"/><Relationship Id="rId16" Type="http://schemas.openxmlformats.org/officeDocument/2006/relationships/hyperlink" Target="https://github.com/Sapienza-BBCD/MZUR-Ornitology/raw/main/img/MZURORN2025-008_2.jpg" TargetMode="External"/><Relationship Id="rId221" Type="http://schemas.openxmlformats.org/officeDocument/2006/relationships/hyperlink" Target="https://github.com/Sapienza-BBCD/MZUR-Ornitology/raw/main/img/MZURORN2025-112_1.jpg" TargetMode="External"/><Relationship Id="rId263" Type="http://schemas.openxmlformats.org/officeDocument/2006/relationships/hyperlink" Target="https://github.com/Sapienza-BBCD/MZUR-Ornitology/raw/main/img/MZURORN2025-133_1.jpg" TargetMode="External"/><Relationship Id="rId319" Type="http://schemas.openxmlformats.org/officeDocument/2006/relationships/hyperlink" Target="https://github.com/Sapienza-BBCD/MZUR-Ornitology/raw/main/img/MZURORN2025-161_1.jpg" TargetMode="External"/><Relationship Id="rId470" Type="http://schemas.openxmlformats.org/officeDocument/2006/relationships/hyperlink" Target="https://github.com/Sapienza-BBCD/MZUR-Ornitology/raw/main/img/MZURORN2025-236_2.jpg" TargetMode="External"/><Relationship Id="rId526" Type="http://schemas.openxmlformats.org/officeDocument/2006/relationships/hyperlink" Target="https://github.com/Sapienza-BBCD/MZUR-Ornitology/raw/main/img/MZURORN2025-264_2.jpg" TargetMode="External"/><Relationship Id="rId58" Type="http://schemas.openxmlformats.org/officeDocument/2006/relationships/hyperlink" Target="https://github.com/Sapienza-BBCD/MZUR-Ornitology/raw/main/img/MZURORN2025-029_2.jpg" TargetMode="External"/><Relationship Id="rId123" Type="http://schemas.openxmlformats.org/officeDocument/2006/relationships/hyperlink" Target="https://github.com/Sapienza-BBCD/MZUR-Ornitology/raw/main/img/MZURORN2025-063_1.jpg" TargetMode="External"/><Relationship Id="rId330" Type="http://schemas.openxmlformats.org/officeDocument/2006/relationships/hyperlink" Target="https://github.com/Sapienza-BBCD/MZUR-Ornitology/raw/main/img/MZURORN2025-166_2.jpg" TargetMode="External"/><Relationship Id="rId568" Type="http://schemas.openxmlformats.org/officeDocument/2006/relationships/hyperlink" Target="https://github.com/Sapienza-BBCD/MZUR-Ornitology/raw/main/img/MZURORN2025-285_2.jpg" TargetMode="External"/><Relationship Id="rId165" Type="http://schemas.openxmlformats.org/officeDocument/2006/relationships/hyperlink" Target="https://github.com/Sapienza-BBCD/MZUR-Ornitology/raw/main/img/MZURORN2025-084_1.jpg" TargetMode="External"/><Relationship Id="rId372" Type="http://schemas.openxmlformats.org/officeDocument/2006/relationships/hyperlink" Target="https://github.com/Sapienza-BBCD/MZUR-Ornitology/raw/main/img/MZURORN2025-187_2.jpg" TargetMode="External"/><Relationship Id="rId428" Type="http://schemas.openxmlformats.org/officeDocument/2006/relationships/hyperlink" Target="https://github.com/Sapienza-BBCD/MZUR-Ornitology/raw/main/img/MZURORN2025-215_2.jpg" TargetMode="External"/><Relationship Id="rId232" Type="http://schemas.openxmlformats.org/officeDocument/2006/relationships/hyperlink" Target="https://github.com/Sapienza-BBCD/MZUR-Ornitology/raw/main/img/MZURORN2025-117_2.jpg" TargetMode="External"/><Relationship Id="rId274" Type="http://schemas.openxmlformats.org/officeDocument/2006/relationships/hyperlink" Target="https://github.com/Sapienza-BBCD/MZUR-Ornitology/raw/main/img/MZURORN2025-138_2.jpg" TargetMode="External"/><Relationship Id="rId481" Type="http://schemas.openxmlformats.org/officeDocument/2006/relationships/hyperlink" Target="https://github.com/Sapienza-BBCD/MZUR-Ornitology/raw/main/img/MZURORN2025-242_1.jpg" TargetMode="External"/><Relationship Id="rId27" Type="http://schemas.openxmlformats.org/officeDocument/2006/relationships/hyperlink" Target="https://github.com/Sapienza-BBCD/MZUR-Ornitology/raw/main/img/MZURORN2025-014_1.jpg" TargetMode="External"/><Relationship Id="rId69" Type="http://schemas.openxmlformats.org/officeDocument/2006/relationships/hyperlink" Target="https://github.com/Sapienza-BBCD/MZUR-Ornitology/raw/main/img/MZURORN2025-035_1.jpg" TargetMode="External"/><Relationship Id="rId134" Type="http://schemas.openxmlformats.org/officeDocument/2006/relationships/hyperlink" Target="https://github.com/Sapienza-BBCD/MZUR-Ornitology/raw/main/img/MZURORN2025-068_2.jpg" TargetMode="External"/><Relationship Id="rId537" Type="http://schemas.openxmlformats.org/officeDocument/2006/relationships/hyperlink" Target="https://github.com/Sapienza-BBCD/MZUR-Ornitology/raw/main/img/MZURORN2025-270_1.jpg" TargetMode="External"/><Relationship Id="rId579" Type="http://schemas.openxmlformats.org/officeDocument/2006/relationships/hyperlink" Target="https://github.com/Sapienza-BBCD/MZUR-Ornitology/raw/main/img/MZURORN2025-291_1.jpg" TargetMode="External"/><Relationship Id="rId80" Type="http://schemas.openxmlformats.org/officeDocument/2006/relationships/hyperlink" Target="https://github.com/Sapienza-BBCD/MZUR-Ornitology/raw/main/img/MZURORN2025-040_2.jpg" TargetMode="External"/><Relationship Id="rId176" Type="http://schemas.openxmlformats.org/officeDocument/2006/relationships/hyperlink" Target="https://github.com/Sapienza-BBCD/MZUR-Ornitology/raw/main/img/MZURORN2025-089_2.jpg" TargetMode="External"/><Relationship Id="rId341" Type="http://schemas.openxmlformats.org/officeDocument/2006/relationships/hyperlink" Target="https://github.com/Sapienza-BBCD/MZUR-Ornitology/raw/main/img/MZURORN2025-172_1.jpg" TargetMode="External"/><Relationship Id="rId383" Type="http://schemas.openxmlformats.org/officeDocument/2006/relationships/hyperlink" Target="https://github.com/Sapienza-BBCD/MZUR-Ornitology/raw/main/img/MZURORN2025-193_1.jpg" TargetMode="External"/><Relationship Id="rId439" Type="http://schemas.openxmlformats.org/officeDocument/2006/relationships/hyperlink" Target="https://github.com/Sapienza-BBCD/MZUR-Ornitology/raw/main/img/MZURORN2025-221_1.jpg" TargetMode="External"/><Relationship Id="rId590" Type="http://schemas.openxmlformats.org/officeDocument/2006/relationships/hyperlink" Target="https://github.com/Sapienza-BBCD/MZUR-Ornitology/raw/main/img/MZURORN2025-296_2.jpg" TargetMode="External"/><Relationship Id="rId201" Type="http://schemas.openxmlformats.org/officeDocument/2006/relationships/hyperlink" Target="https://github.com/Sapienza-BBCD/MZUR-Ornitology/raw/main/img/MZURORN2025-102_1.jpg" TargetMode="External"/><Relationship Id="rId243" Type="http://schemas.openxmlformats.org/officeDocument/2006/relationships/hyperlink" Target="https://github.com/Sapienza-BBCD/MZUR-Ornitology/raw/main/img/MZURORN2025-123_1.jpg" TargetMode="External"/><Relationship Id="rId285" Type="http://schemas.openxmlformats.org/officeDocument/2006/relationships/hyperlink" Target="https://github.com/Sapienza-BBCD/MZUR-Ornitology/raw/main/img/MZURORN2025-144_1.jpg" TargetMode="External"/><Relationship Id="rId450" Type="http://schemas.openxmlformats.org/officeDocument/2006/relationships/hyperlink" Target="https://github.com/Sapienza-BBCD/MZUR-Ornitology/raw/main/img/MZURORN2025-226_2.jpg" TargetMode="External"/><Relationship Id="rId506" Type="http://schemas.openxmlformats.org/officeDocument/2006/relationships/hyperlink" Target="https://github.com/Sapienza-BBCD/MZUR-Ornitology/raw/main/img/MZURORN2025-254_2.jpg" TargetMode="External"/><Relationship Id="rId38" Type="http://schemas.openxmlformats.org/officeDocument/2006/relationships/hyperlink" Target="https://github.com/Sapienza-BBCD/MZUR-Ornitology/raw/main/img/MZURORN2025-019_2.jpg" TargetMode="External"/><Relationship Id="rId103" Type="http://schemas.openxmlformats.org/officeDocument/2006/relationships/hyperlink" Target="https://github.com/Sapienza-BBCD/MZUR-Ornitology/raw/main/img/MZURORN2025-052_1.jpg" TargetMode="External"/><Relationship Id="rId310" Type="http://schemas.openxmlformats.org/officeDocument/2006/relationships/hyperlink" Target="https://github.com/Sapienza-BBCD/MZUR-Ornitology/raw/main/img/MZURORN2025-156_2.jpg" TargetMode="External"/><Relationship Id="rId492" Type="http://schemas.openxmlformats.org/officeDocument/2006/relationships/hyperlink" Target="https://github.com/Sapienza-BBCD/MZUR-Ornitology/raw/main/img/MZURORN2025-247_2.jpg" TargetMode="External"/><Relationship Id="rId548" Type="http://schemas.openxmlformats.org/officeDocument/2006/relationships/hyperlink" Target="https://github.com/Sapienza-BBCD/MZUR-Ornitology/raw/main/img/MZURORN2025-275_2.jpg" TargetMode="External"/><Relationship Id="rId91" Type="http://schemas.openxmlformats.org/officeDocument/2006/relationships/hyperlink" Target="https://github.com/Sapienza-BBCD/MZUR-Ornitology/raw/main/img/MZURORN2025-046_1.jpg" TargetMode="External"/><Relationship Id="rId145" Type="http://schemas.openxmlformats.org/officeDocument/2006/relationships/hyperlink" Target="https://github.com/Sapienza-BBCD/MZUR-Ornitology/raw/main/img/MZURORN2025-074_1.jpg" TargetMode="External"/><Relationship Id="rId187" Type="http://schemas.openxmlformats.org/officeDocument/2006/relationships/hyperlink" Target="https://github.com/Sapienza-BBCD/MZUR-Ornitology/raw/main/img/MZURORN2025-095_1.jpg" TargetMode="External"/><Relationship Id="rId352" Type="http://schemas.openxmlformats.org/officeDocument/2006/relationships/hyperlink" Target="https://github.com/Sapienza-BBCD/MZUR-Ornitology/raw/main/img/MZURORN2025-177_2.jpg" TargetMode="External"/><Relationship Id="rId394" Type="http://schemas.openxmlformats.org/officeDocument/2006/relationships/hyperlink" Target="https://github.com/Sapienza-BBCD/MZUR-Ornitology/raw/main/img/MZURORN2025-198_2.jpg" TargetMode="External"/><Relationship Id="rId408" Type="http://schemas.openxmlformats.org/officeDocument/2006/relationships/hyperlink" Target="https://github.com/Sapienza-BBCD/MZUR-Ornitology/raw/main/img/MZURORN2025-205_2.jpg" TargetMode="External"/><Relationship Id="rId212" Type="http://schemas.openxmlformats.org/officeDocument/2006/relationships/hyperlink" Target="https://github.com/Sapienza-BBCD/MZUR-Ornitology/raw/main/img/MZURORN2025-107_2.jpg" TargetMode="External"/><Relationship Id="rId254" Type="http://schemas.openxmlformats.org/officeDocument/2006/relationships/hyperlink" Target="https://github.com/Sapienza-BBCD/MZUR-Ornitology/raw/main/img/MZURORN2025-128_2.jpg" TargetMode="External"/><Relationship Id="rId49" Type="http://schemas.openxmlformats.org/officeDocument/2006/relationships/hyperlink" Target="https://github.com/Sapienza-BBCD/MZUR-Ornitology/raw/main/img/MZURORN2025-025_1.jpg" TargetMode="External"/><Relationship Id="rId114" Type="http://schemas.openxmlformats.org/officeDocument/2006/relationships/hyperlink" Target="https://github.com/Sapienza-BBCD/MZUR-Ornitology/raw/main/img/MZURORN2025-057_2.jpg" TargetMode="External"/><Relationship Id="rId296" Type="http://schemas.openxmlformats.org/officeDocument/2006/relationships/hyperlink" Target="https://github.com/Sapienza-BBCD/MZUR-Ornitology/raw/main/img/MZURORN2025-149_2.jpg" TargetMode="External"/><Relationship Id="rId461" Type="http://schemas.openxmlformats.org/officeDocument/2006/relationships/hyperlink" Target="https://github.com/Sapienza-BBCD/MZUR-Ornitology/raw/main/img/MZURORN2025-232_1.jpg" TargetMode="External"/><Relationship Id="rId517" Type="http://schemas.openxmlformats.org/officeDocument/2006/relationships/hyperlink" Target="https://github.com/Sapienza-BBCD/MZUR-Ornitology/raw/main/img/MZURORN2025-260_1.jpg" TargetMode="External"/><Relationship Id="rId559" Type="http://schemas.openxmlformats.org/officeDocument/2006/relationships/hyperlink" Target="https://github.com/Sapienza-BBCD/MZUR-Ornitology/raw/main/img/MZURORN2025-281_1.jpg" TargetMode="External"/><Relationship Id="rId60" Type="http://schemas.openxmlformats.org/officeDocument/2006/relationships/hyperlink" Target="https://github.com/Sapienza-BBCD/MZUR-Ornitology/raw/main/img/MZURORN2025-030_2.jpg" TargetMode="External"/><Relationship Id="rId156" Type="http://schemas.openxmlformats.org/officeDocument/2006/relationships/hyperlink" Target="https://github.com/Sapienza-BBCD/MZUR-Ornitology/raw/main/img/MZURORN2025-079_2.jpg" TargetMode="External"/><Relationship Id="rId198" Type="http://schemas.openxmlformats.org/officeDocument/2006/relationships/hyperlink" Target="https://github.com/Sapienza-BBCD/MZUR-Ornitology/raw/main/img/MZURORN2025-100_2.jpg" TargetMode="External"/><Relationship Id="rId321" Type="http://schemas.openxmlformats.org/officeDocument/2006/relationships/hyperlink" Target="https://github.com/Sapienza-BBCD/MZUR-Ornitology/raw/main/img/MZURORN2025-162_1.jpg" TargetMode="External"/><Relationship Id="rId363" Type="http://schemas.openxmlformats.org/officeDocument/2006/relationships/hyperlink" Target="https://github.com/Sapienza-BBCD/MZUR-Ornitology/raw/main/img/MZURORN2025-183_1.jpg" TargetMode="External"/><Relationship Id="rId419" Type="http://schemas.openxmlformats.org/officeDocument/2006/relationships/hyperlink" Target="https://github.com/Sapienza-BBCD/MZUR-Ornitology/raw/main/img/MZURORN2025-211_1.jpg" TargetMode="External"/><Relationship Id="rId570" Type="http://schemas.openxmlformats.org/officeDocument/2006/relationships/hyperlink" Target="https://github.com/Sapienza-BBCD/MZUR-Ornitology/raw/main/img/MZURORN2025-286_2.jpg" TargetMode="External"/><Relationship Id="rId223" Type="http://schemas.openxmlformats.org/officeDocument/2006/relationships/hyperlink" Target="https://github.com/Sapienza-BBCD/MZUR-Ornitology/raw/main/img/MZURORN2025-113_1.jpg" TargetMode="External"/><Relationship Id="rId430" Type="http://schemas.openxmlformats.org/officeDocument/2006/relationships/hyperlink" Target="https://github.com/Sapienza-BBCD/MZUR-Ornitology/raw/main/img/MZURORN2025-216_2.jpg" TargetMode="External"/><Relationship Id="rId18" Type="http://schemas.openxmlformats.org/officeDocument/2006/relationships/hyperlink" Target="https://github.com/Sapienza-BBCD/MZUR-Ornitology/raw/main/img/MZURORN2025-009_2.jpg" TargetMode="External"/><Relationship Id="rId265" Type="http://schemas.openxmlformats.org/officeDocument/2006/relationships/hyperlink" Target="https://github.com/Sapienza-BBCD/MZUR-Ornitology/raw/main/img/MZURORN2025-134_1.jpg" TargetMode="External"/><Relationship Id="rId472" Type="http://schemas.openxmlformats.org/officeDocument/2006/relationships/hyperlink" Target="https://github.com/Sapienza-BBCD/MZUR-Ornitology/raw/main/img/MZURORN2025-237_2.jpg" TargetMode="External"/><Relationship Id="rId528" Type="http://schemas.openxmlformats.org/officeDocument/2006/relationships/hyperlink" Target="https://github.com/Sapienza-BBCD/MZUR-Ornitology/raw/main/img/MZURORN2025-265_2.jpg" TargetMode="External"/><Relationship Id="rId125" Type="http://schemas.openxmlformats.org/officeDocument/2006/relationships/hyperlink" Target="https://github.com/Sapienza-BBCD/MZUR-Ornitology/raw/main/img/MZURORN2025-064_1.jpg" TargetMode="External"/><Relationship Id="rId167" Type="http://schemas.openxmlformats.org/officeDocument/2006/relationships/hyperlink" Target="https://github.com/Sapienza-BBCD/MZUR-Ornitology/raw/main/img/MZURORN2025-085_1.jpg" TargetMode="External"/><Relationship Id="rId332" Type="http://schemas.openxmlformats.org/officeDocument/2006/relationships/hyperlink" Target="https://github.com/Sapienza-BBCD/MZUR-Ornitology/raw/main/img/MZURORN2025-167_2.jpg" TargetMode="External"/><Relationship Id="rId374" Type="http://schemas.openxmlformats.org/officeDocument/2006/relationships/hyperlink" Target="https://github.com/Sapienza-BBCD/MZUR-Ornitology/raw/main/img/MZURORN2025-188_2.jpg" TargetMode="External"/><Relationship Id="rId581" Type="http://schemas.openxmlformats.org/officeDocument/2006/relationships/hyperlink" Target="https://github.com/Sapienza-BBCD/MZUR-Ornitology/raw/main/img/MZURORN2025-292_1.jpg" TargetMode="External"/><Relationship Id="rId71" Type="http://schemas.openxmlformats.org/officeDocument/2006/relationships/hyperlink" Target="https://github.com/Sapienza-BBCD/MZUR-Ornitology/raw/main/img/MZURORN2025-036_1.jpg" TargetMode="External"/><Relationship Id="rId234" Type="http://schemas.openxmlformats.org/officeDocument/2006/relationships/hyperlink" Target="https://github.com/Sapienza-BBCD/MZUR-Ornitology/raw/main/img/MZURORN2025-118_2.jpg" TargetMode="External"/><Relationship Id="rId2" Type="http://schemas.openxmlformats.org/officeDocument/2006/relationships/hyperlink" Target="https://github.com/Sapienza-BBCD/MZUR-Ornitology/raw/main/img/MZURORN2025-001_2.jpg" TargetMode="External"/><Relationship Id="rId29" Type="http://schemas.openxmlformats.org/officeDocument/2006/relationships/hyperlink" Target="https://github.com/Sapienza-BBCD/MZUR-Ornitology/raw/main/img/MZURORN2025-015_1.jpg" TargetMode="External"/><Relationship Id="rId276" Type="http://schemas.openxmlformats.org/officeDocument/2006/relationships/hyperlink" Target="https://github.com/Sapienza-BBCD/MZUR-Ornitology/raw/main/img/MZURORN2025-139_2.jpg" TargetMode="External"/><Relationship Id="rId441" Type="http://schemas.openxmlformats.org/officeDocument/2006/relationships/hyperlink" Target="https://github.com/Sapienza-BBCD/MZUR-Ornitology/raw/main/img/MZURORN2025-222_1.jpg" TargetMode="External"/><Relationship Id="rId483" Type="http://schemas.openxmlformats.org/officeDocument/2006/relationships/hyperlink" Target="https://github.com/Sapienza-BBCD/MZUR-Ornitology/raw/main/img/MZURORN2025-243_1.jpg" TargetMode="External"/><Relationship Id="rId539" Type="http://schemas.openxmlformats.org/officeDocument/2006/relationships/hyperlink" Target="https://github.com/Sapienza-BBCD/MZUR-Ornitology/raw/main/img/MZURORN2025-271_1.jpg" TargetMode="External"/><Relationship Id="rId40" Type="http://schemas.openxmlformats.org/officeDocument/2006/relationships/hyperlink" Target="https://github.com/Sapienza-BBCD/MZUR-Ornitology/raw/main/img/MZURORN2025-020_2.jpg" TargetMode="External"/><Relationship Id="rId136" Type="http://schemas.openxmlformats.org/officeDocument/2006/relationships/hyperlink" Target="https://github.com/Sapienza-BBCD/MZUR-Ornitology/raw/main/img/MZURORN2025-069_2.jpg" TargetMode="External"/><Relationship Id="rId178" Type="http://schemas.openxmlformats.org/officeDocument/2006/relationships/hyperlink" Target="https://github.com/Sapienza-BBCD/MZUR-Ornitology/raw/main/img/MZURORN2025-090_2.jpg" TargetMode="External"/><Relationship Id="rId301" Type="http://schemas.openxmlformats.org/officeDocument/2006/relationships/hyperlink" Target="https://github.com/Sapienza-BBCD/MZUR-Ornitology/raw/main/img/MZURORN2025-152_1.jpg" TargetMode="External"/><Relationship Id="rId343" Type="http://schemas.openxmlformats.org/officeDocument/2006/relationships/hyperlink" Target="https://github.com/Sapienza-BBCD/MZUR-Ornitology/raw/main/img/MZURORN2025-173_1.jpg" TargetMode="External"/><Relationship Id="rId550" Type="http://schemas.openxmlformats.org/officeDocument/2006/relationships/hyperlink" Target="https://github.com/Sapienza-BBCD/MZUR-Ornitology/raw/main/img/MZURORN2025-276_2.jpg" TargetMode="External"/><Relationship Id="rId82" Type="http://schemas.openxmlformats.org/officeDocument/2006/relationships/hyperlink" Target="https://github.com/Sapienza-BBCD/MZUR-Ornitology/raw/main/img/MZURORN2025-041_2.jpg" TargetMode="External"/><Relationship Id="rId203" Type="http://schemas.openxmlformats.org/officeDocument/2006/relationships/hyperlink" Target="https://github.com/Sapienza-BBCD/MZUR-Ornitology/raw/main/img/MZURORN2025-103_1.jpg" TargetMode="External"/><Relationship Id="rId385" Type="http://schemas.openxmlformats.org/officeDocument/2006/relationships/hyperlink" Target="https://github.com/Sapienza-BBCD/MZUR-Ornitology/raw/main/img/MZURORN2025-194_1.jpg" TargetMode="External"/><Relationship Id="rId592" Type="http://schemas.openxmlformats.org/officeDocument/2006/relationships/hyperlink" Target="https://github.com/Sapienza-BBCD/MZUR-Ornitology/raw/main/img/MZURORN2025-297_2.jpg" TargetMode="External"/><Relationship Id="rId245" Type="http://schemas.openxmlformats.org/officeDocument/2006/relationships/hyperlink" Target="https://github.com/Sapienza-BBCD/MZUR-Ornitology/raw/main/img/MZURORN2025-124_1.jpg" TargetMode="External"/><Relationship Id="rId287" Type="http://schemas.openxmlformats.org/officeDocument/2006/relationships/hyperlink" Target="https://github.com/Sapienza-BBCD/MZUR-Ornitology/raw/main/img/MZURORN2025-145_1.jpg" TargetMode="External"/><Relationship Id="rId410" Type="http://schemas.openxmlformats.org/officeDocument/2006/relationships/hyperlink" Target="https://github.com/Sapienza-BBCD/MZUR-Ornitology/raw/main/img/MZURORN2025-206_2.jpg" TargetMode="External"/><Relationship Id="rId452" Type="http://schemas.openxmlformats.org/officeDocument/2006/relationships/hyperlink" Target="https://github.com/Sapienza-BBCD/MZUR-Ornitology/raw/main/img/MZURORN2025-227_2.jpg" TargetMode="External"/><Relationship Id="rId494" Type="http://schemas.openxmlformats.org/officeDocument/2006/relationships/hyperlink" Target="https://github.com/Sapienza-BBCD/MZUR-Ornitology/raw/main/img/MZURORN2025-248_2.jpg" TargetMode="External"/><Relationship Id="rId508" Type="http://schemas.openxmlformats.org/officeDocument/2006/relationships/hyperlink" Target="https://github.com/Sapienza-BBCD/MZUR-Ornitology/raw/main/img/MZURORN2025-255_2.jpg" TargetMode="External"/><Relationship Id="rId105" Type="http://schemas.openxmlformats.org/officeDocument/2006/relationships/hyperlink" Target="https://github.com/Sapienza-BBCD/MZUR-Ornitology/raw/main/img/MZURORN2025-053_1.jpg" TargetMode="External"/><Relationship Id="rId147" Type="http://schemas.openxmlformats.org/officeDocument/2006/relationships/hyperlink" Target="https://github.com/Sapienza-BBCD/MZUR-Ornitology/raw/main/img/MZURORN2025-075_1.jpg" TargetMode="External"/><Relationship Id="rId312" Type="http://schemas.openxmlformats.org/officeDocument/2006/relationships/hyperlink" Target="https://github.com/Sapienza-BBCD/MZUR-Ornitology/raw/main/img/MZURORN2025-157_2.jpg" TargetMode="External"/><Relationship Id="rId354" Type="http://schemas.openxmlformats.org/officeDocument/2006/relationships/hyperlink" Target="https://github.com/Sapienza-BBCD/MZUR-Ornitology/raw/main/img/MZURORN2025-178_2.jpg" TargetMode="External"/><Relationship Id="rId51" Type="http://schemas.openxmlformats.org/officeDocument/2006/relationships/hyperlink" Target="https://github.com/Sapienza-BBCD/MZUR-Ornitology/raw/main/img/MZURORN2025-026_1.jpg" TargetMode="External"/><Relationship Id="rId93" Type="http://schemas.openxmlformats.org/officeDocument/2006/relationships/hyperlink" Target="https://github.com/Sapienza-BBCD/MZUR-Ornitology/raw/main/img/MZURORN2025-047_1.jpg" TargetMode="External"/><Relationship Id="rId189" Type="http://schemas.openxmlformats.org/officeDocument/2006/relationships/hyperlink" Target="https://github.com/Sapienza-BBCD/MZUR-Ornitology/raw/main/img/MZURORN2025-096_1.jpg" TargetMode="External"/><Relationship Id="rId396" Type="http://schemas.openxmlformats.org/officeDocument/2006/relationships/hyperlink" Target="https://github.com/Sapienza-BBCD/MZUR-Ornitology/raw/main/img/MZURORN2025-199_2.jpg" TargetMode="External"/><Relationship Id="rId561" Type="http://schemas.openxmlformats.org/officeDocument/2006/relationships/hyperlink" Target="https://github.com/Sapienza-BBCD/MZUR-Ornitology/raw/main/img/MZURORN2025-282_1.jpg" TargetMode="External"/><Relationship Id="rId214" Type="http://schemas.openxmlformats.org/officeDocument/2006/relationships/hyperlink" Target="https://github.com/Sapienza-BBCD/MZUR-Ornitology/raw/main/img/MZURORN2025-108_2.jpg" TargetMode="External"/><Relationship Id="rId256" Type="http://schemas.openxmlformats.org/officeDocument/2006/relationships/hyperlink" Target="https://github.com/Sapienza-BBCD/MZUR-Ornitology/raw/main/img/MZURORN2025-129_2.jpg" TargetMode="External"/><Relationship Id="rId298" Type="http://schemas.openxmlformats.org/officeDocument/2006/relationships/hyperlink" Target="https://github.com/Sapienza-BBCD/MZUR-Ornitology/raw/main/img/MZURORN2025-150_2.jpg" TargetMode="External"/><Relationship Id="rId421" Type="http://schemas.openxmlformats.org/officeDocument/2006/relationships/hyperlink" Target="https://github.com/Sapienza-BBCD/MZUR-Ornitology/raw/main/img/MZURORN2025-212_1.jpg" TargetMode="External"/><Relationship Id="rId463" Type="http://schemas.openxmlformats.org/officeDocument/2006/relationships/hyperlink" Target="https://github.com/Sapienza-BBCD/MZUR-Ornitology/raw/main/img/MZURORN2025-233_1.jpg" TargetMode="External"/><Relationship Id="rId519" Type="http://schemas.openxmlformats.org/officeDocument/2006/relationships/hyperlink" Target="https://github.com/Sapienza-BBCD/MZUR-Ornitology/raw/main/img/MZURORN2025-261_1.jpg" TargetMode="External"/><Relationship Id="rId116" Type="http://schemas.openxmlformats.org/officeDocument/2006/relationships/hyperlink" Target="https://github.com/Sapienza-BBCD/MZUR-Ornitology/raw/main/img/MZURORN2025-059_2.jpg" TargetMode="External"/><Relationship Id="rId158" Type="http://schemas.openxmlformats.org/officeDocument/2006/relationships/hyperlink" Target="https://github.com/Sapienza-BBCD/MZUR-Ornitology/raw/main/img/MZURORN2025-080_2.jpg" TargetMode="External"/><Relationship Id="rId323" Type="http://schemas.openxmlformats.org/officeDocument/2006/relationships/hyperlink" Target="https://github.com/Sapienza-BBCD/MZUR-Ornitology/raw/main/img/MZURORN2025-163_1.jpg" TargetMode="External"/><Relationship Id="rId530" Type="http://schemas.openxmlformats.org/officeDocument/2006/relationships/hyperlink" Target="https://github.com/Sapienza-BBCD/MZUR-Ornitology/raw/main/img/MZURORN2025-266_2.jpg" TargetMode="External"/><Relationship Id="rId20" Type="http://schemas.openxmlformats.org/officeDocument/2006/relationships/hyperlink" Target="https://github.com/Sapienza-BBCD/MZUR-Ornitology/raw/main/img/MZURORN2025-010_2.jpg" TargetMode="External"/><Relationship Id="rId62" Type="http://schemas.openxmlformats.org/officeDocument/2006/relationships/hyperlink" Target="https://github.com/Sapienza-BBCD/MZUR-Ornitology/raw/main/img/MZURORN2025-031_2.jpg" TargetMode="External"/><Relationship Id="rId365" Type="http://schemas.openxmlformats.org/officeDocument/2006/relationships/hyperlink" Target="https://github.com/Sapienza-BBCD/MZUR-Ornitology/raw/main/img/MZURORN2025-184_1.jpg" TargetMode="External"/><Relationship Id="rId572" Type="http://schemas.openxmlformats.org/officeDocument/2006/relationships/hyperlink" Target="https://github.com/Sapienza-BBCD/MZUR-Ornitology/raw/main/img/MZURORN2025-287_2.jpg" TargetMode="External"/><Relationship Id="rId225" Type="http://schemas.openxmlformats.org/officeDocument/2006/relationships/hyperlink" Target="https://github.com/Sapienza-BBCD/MZUR-Ornitology/raw/main/img/MZURORN2025-114_1.jpg" TargetMode="External"/><Relationship Id="rId267" Type="http://schemas.openxmlformats.org/officeDocument/2006/relationships/hyperlink" Target="https://github.com/Sapienza-BBCD/MZUR-Ornitology/raw/main/img/MZURORN2025-135_1.jpg" TargetMode="External"/><Relationship Id="rId432" Type="http://schemas.openxmlformats.org/officeDocument/2006/relationships/hyperlink" Target="https://github.com/Sapienza-BBCD/MZUR-Ornitology/raw/main/img/MZURORN2025-217_2.jpg" TargetMode="External"/><Relationship Id="rId474" Type="http://schemas.openxmlformats.org/officeDocument/2006/relationships/hyperlink" Target="https://github.com/Sapienza-BBCD/MZUR-Ornitology/raw/main/img/MZURORN2025-238_2.jpg" TargetMode="External"/><Relationship Id="rId127" Type="http://schemas.openxmlformats.org/officeDocument/2006/relationships/hyperlink" Target="https://github.com/Sapienza-BBCD/MZUR-Ornitology/raw/main/img/MZURORN2025-065_1.jpg" TargetMode="External"/><Relationship Id="rId31" Type="http://schemas.openxmlformats.org/officeDocument/2006/relationships/hyperlink" Target="https://github.com/Sapienza-BBCD/MZUR-Ornitology/raw/main/img/MZURORN2025-016_1.jpg" TargetMode="External"/><Relationship Id="rId73" Type="http://schemas.openxmlformats.org/officeDocument/2006/relationships/hyperlink" Target="https://github.com/Sapienza-BBCD/MZUR-Ornitology/raw/main/img/MZURORN2025-037_1.jpg" TargetMode="External"/><Relationship Id="rId169" Type="http://schemas.openxmlformats.org/officeDocument/2006/relationships/hyperlink" Target="https://github.com/Sapienza-BBCD/MZUR-Ornitology/raw/main/img/MZURORN2025-086_1.jpg" TargetMode="External"/><Relationship Id="rId334" Type="http://schemas.openxmlformats.org/officeDocument/2006/relationships/hyperlink" Target="https://github.com/Sapienza-BBCD/MZUR-Ornitology/raw/main/img/MZURORN2025-168_2.jpg" TargetMode="External"/><Relationship Id="rId376" Type="http://schemas.openxmlformats.org/officeDocument/2006/relationships/hyperlink" Target="https://github.com/Sapienza-BBCD/MZUR-Ornitology/raw/main/img/MZURORN2025-189_2.jpg" TargetMode="External"/><Relationship Id="rId541" Type="http://schemas.openxmlformats.org/officeDocument/2006/relationships/hyperlink" Target="https://github.com/Sapienza-BBCD/MZUR-Ornitology/raw/main/img/MZURORN2025-272_1.jpg" TargetMode="External"/><Relationship Id="rId583" Type="http://schemas.openxmlformats.org/officeDocument/2006/relationships/hyperlink" Target="https://github.com/Sapienza-BBCD/MZUR-Ornitology/raw/main/img/MZURORN2025-293_1.jpg" TargetMode="External"/><Relationship Id="rId4" Type="http://schemas.openxmlformats.org/officeDocument/2006/relationships/hyperlink" Target="https://github.com/Sapienza-BBCD/MZUR-Ornitology/raw/main/img/MZURORN2025-002_2.jpg" TargetMode="External"/><Relationship Id="rId180" Type="http://schemas.openxmlformats.org/officeDocument/2006/relationships/hyperlink" Target="https://github.com/Sapienza-BBCD/MZUR-Ornitology/raw/main/img/MZURORN2025-091_2.jpg" TargetMode="External"/><Relationship Id="rId236" Type="http://schemas.openxmlformats.org/officeDocument/2006/relationships/hyperlink" Target="https://github.com/Sapienza-BBCD/MZUR-Ornitology/raw/main/img/MZURORN2025-119_2.jpg" TargetMode="External"/><Relationship Id="rId278" Type="http://schemas.openxmlformats.org/officeDocument/2006/relationships/hyperlink" Target="https://github.com/Sapienza-BBCD/MZUR-Ornitology/raw/main/img/MZURORN2025-140_2.jpg" TargetMode="External"/><Relationship Id="rId401" Type="http://schemas.openxmlformats.org/officeDocument/2006/relationships/hyperlink" Target="https://github.com/Sapienza-BBCD/MZUR-Ornitology/raw/main/img/MZURORN2025-202_1.jpg" TargetMode="External"/><Relationship Id="rId443" Type="http://schemas.openxmlformats.org/officeDocument/2006/relationships/hyperlink" Target="https://github.com/Sapienza-BBCD/MZUR-Ornitology/raw/main/img/MZURORN2025-223_1.jpg" TargetMode="External"/><Relationship Id="rId303" Type="http://schemas.openxmlformats.org/officeDocument/2006/relationships/hyperlink" Target="https://github.com/Sapienza-BBCD/MZUR-Ornitology/raw/main/img/MZURORN2025-153_1.jpg" TargetMode="External"/><Relationship Id="rId485" Type="http://schemas.openxmlformats.org/officeDocument/2006/relationships/hyperlink" Target="https://github.com/Sapienza-BBCD/MZUR-Ornitology/raw/main/img/MZURORN2025-244_1.jpg" TargetMode="External"/><Relationship Id="rId42" Type="http://schemas.openxmlformats.org/officeDocument/2006/relationships/hyperlink" Target="https://github.com/Sapienza-BBCD/MZUR-Ornitology/raw/main/img/MZURORN2025-021_2.jpg" TargetMode="External"/><Relationship Id="rId84" Type="http://schemas.openxmlformats.org/officeDocument/2006/relationships/hyperlink" Target="https://github.com/Sapienza-BBCD/MZUR-Ornitology/raw/main/img/MZURORN2025-042_2.jpg" TargetMode="External"/><Relationship Id="rId138" Type="http://schemas.openxmlformats.org/officeDocument/2006/relationships/hyperlink" Target="https://github.com/Sapienza-BBCD/MZUR-Ornitology/raw/main/img/MZURORN2025-070_2.jpg" TargetMode="External"/><Relationship Id="rId345" Type="http://schemas.openxmlformats.org/officeDocument/2006/relationships/hyperlink" Target="https://github.com/Sapienza-BBCD/MZUR-Ornitology/raw/main/img/MZURORN2025-174_1.jpg" TargetMode="External"/><Relationship Id="rId387" Type="http://schemas.openxmlformats.org/officeDocument/2006/relationships/hyperlink" Target="https://github.com/Sapienza-BBCD/MZUR-Ornitology/raw/main/img/MZURORN2025-195_1.jpg" TargetMode="External"/><Relationship Id="rId510" Type="http://schemas.openxmlformats.org/officeDocument/2006/relationships/hyperlink" Target="https://github.com/Sapienza-BBCD/MZUR-Ornitology/raw/main/img/MZURORN2025-256_2.jpg" TargetMode="External"/><Relationship Id="rId552" Type="http://schemas.openxmlformats.org/officeDocument/2006/relationships/hyperlink" Target="https://github.com/Sapienza-BBCD/MZUR-Ornitology/raw/main/img/MZURORN2025-277_2.jpg" TargetMode="External"/><Relationship Id="rId594" Type="http://schemas.openxmlformats.org/officeDocument/2006/relationships/hyperlink" Target="https://github.com/Sapienza-BBCD/MZUR-Ornitology/raw/main/img/MZURORN2025-298_2.jpg" TargetMode="External"/><Relationship Id="rId191" Type="http://schemas.openxmlformats.org/officeDocument/2006/relationships/hyperlink" Target="https://github.com/Sapienza-BBCD/MZUR-Ornitology/raw/main/img/MZURORN2025-097_1.jpg" TargetMode="External"/><Relationship Id="rId205" Type="http://schemas.openxmlformats.org/officeDocument/2006/relationships/hyperlink" Target="https://github.com/Sapienza-BBCD/MZUR-Ornitology/raw/main/img/MZURORN2025-104_1.jpg" TargetMode="External"/><Relationship Id="rId247" Type="http://schemas.openxmlformats.org/officeDocument/2006/relationships/hyperlink" Target="https://github.com/Sapienza-BBCD/MZUR-Ornitology/raw/main/img/MZURORN2025-125_1.jpg" TargetMode="External"/><Relationship Id="rId412" Type="http://schemas.openxmlformats.org/officeDocument/2006/relationships/hyperlink" Target="https://github.com/Sapienza-BBCD/MZUR-Ornitology/raw/main/img/MZURORN2025-207_2.jpg" TargetMode="External"/><Relationship Id="rId107" Type="http://schemas.openxmlformats.org/officeDocument/2006/relationships/hyperlink" Target="https://github.com/Sapienza-BBCD/MZUR-Ornitology/raw/main/img/MZURORN2025-054_1.jpg" TargetMode="External"/><Relationship Id="rId289" Type="http://schemas.openxmlformats.org/officeDocument/2006/relationships/hyperlink" Target="https://github.com/Sapienza-BBCD/MZUR-Ornitology/raw/main/img/MZURORN2025-146_1.jpg" TargetMode="External"/><Relationship Id="rId454" Type="http://schemas.openxmlformats.org/officeDocument/2006/relationships/hyperlink" Target="https://github.com/Sapienza-BBCD/MZUR-Ornitology/raw/main/img/MZURORN2025-228_2.jpg" TargetMode="External"/><Relationship Id="rId496" Type="http://schemas.openxmlformats.org/officeDocument/2006/relationships/hyperlink" Target="https://github.com/Sapienza-BBCD/MZUR-Ornitology/raw/main/img/MZURORN2025-249_2.jpg" TargetMode="External"/><Relationship Id="rId11" Type="http://schemas.openxmlformats.org/officeDocument/2006/relationships/hyperlink" Target="https://github.com/Sapienza-BBCD/MZUR-Ornitology/raw/main/img/MZURORN2025-006_1.jpg" TargetMode="External"/><Relationship Id="rId53" Type="http://schemas.openxmlformats.org/officeDocument/2006/relationships/hyperlink" Target="https://github.com/Sapienza-BBCD/MZUR-Ornitology/raw/main/img/MZURORN2025-027_1.jpg" TargetMode="External"/><Relationship Id="rId149" Type="http://schemas.openxmlformats.org/officeDocument/2006/relationships/hyperlink" Target="https://github.com/Sapienza-BBCD/MZUR-Ornitology/raw/main/img/MZURORN2025-076_1.jpg" TargetMode="External"/><Relationship Id="rId314" Type="http://schemas.openxmlformats.org/officeDocument/2006/relationships/hyperlink" Target="https://github.com/Sapienza-BBCD/MZUR-Ornitology/raw/main/img/MZURORN2025-158_2.jpg" TargetMode="External"/><Relationship Id="rId356" Type="http://schemas.openxmlformats.org/officeDocument/2006/relationships/hyperlink" Target="https://github.com/Sapienza-BBCD/MZUR-Ornitology/raw/main/img/MZURORN2025-179_2.jpg" TargetMode="External"/><Relationship Id="rId398" Type="http://schemas.openxmlformats.org/officeDocument/2006/relationships/hyperlink" Target="https://github.com/Sapienza-BBCD/MZUR-Ornitology/raw/main/img/MZURORN2025-200_2.jpg" TargetMode="External"/><Relationship Id="rId521" Type="http://schemas.openxmlformats.org/officeDocument/2006/relationships/hyperlink" Target="https://github.com/Sapienza-BBCD/MZUR-Ornitology/raw/main/img/MZURORN2025-262_1.jpg" TargetMode="External"/><Relationship Id="rId563" Type="http://schemas.openxmlformats.org/officeDocument/2006/relationships/hyperlink" Target="https://github.com/Sapienza-BBCD/MZUR-Ornitology/raw/main/img/MZURORN2025-283_1.jpg" TargetMode="External"/><Relationship Id="rId95" Type="http://schemas.openxmlformats.org/officeDocument/2006/relationships/hyperlink" Target="https://github.com/Sapienza-BBCD/MZUR-Ornitology/raw/main/img/MZURORN2025-048_1.jpg" TargetMode="External"/><Relationship Id="rId160" Type="http://schemas.openxmlformats.org/officeDocument/2006/relationships/hyperlink" Target="https://github.com/Sapienza-BBCD/MZUR-Ornitology/raw/main/img/MZURORN2025-081_2.jpg" TargetMode="External"/><Relationship Id="rId216" Type="http://schemas.openxmlformats.org/officeDocument/2006/relationships/hyperlink" Target="https://github.com/Sapienza-BBCD/MZUR-Ornitology/raw/main/img/MZURORN2025-109_2.jpg" TargetMode="External"/><Relationship Id="rId423" Type="http://schemas.openxmlformats.org/officeDocument/2006/relationships/hyperlink" Target="https://github.com/Sapienza-BBCD/MZUR-Ornitology/raw/main/img/MZURORN2025-213_1.jpg" TargetMode="External"/><Relationship Id="rId258" Type="http://schemas.openxmlformats.org/officeDocument/2006/relationships/hyperlink" Target="https://github.com/Sapienza-BBCD/MZUR-Ornitology/raw/main/img/MZURORN2025-130_2.jpg" TargetMode="External"/><Relationship Id="rId465" Type="http://schemas.openxmlformats.org/officeDocument/2006/relationships/hyperlink" Target="https://github.com/Sapienza-BBCD/MZUR-Ornitology/raw/main/img/MZURORN2025-234_1.jpg" TargetMode="External"/><Relationship Id="rId22" Type="http://schemas.openxmlformats.org/officeDocument/2006/relationships/hyperlink" Target="https://github.com/Sapienza-BBCD/MZUR-Ornitology/raw/main/img/MZURORN2025-011_2.jpg" TargetMode="External"/><Relationship Id="rId64" Type="http://schemas.openxmlformats.org/officeDocument/2006/relationships/hyperlink" Target="https://github.com/Sapienza-BBCD/MZUR-Ornitology/raw/main/img/MZURORN2025-032_2.jpg" TargetMode="External"/><Relationship Id="rId118" Type="http://schemas.openxmlformats.org/officeDocument/2006/relationships/hyperlink" Target="https://github.com/Sapienza-BBCD/MZUR-Ornitology/raw/main/img/MZURORN2025-060_2.jpg" TargetMode="External"/><Relationship Id="rId325" Type="http://schemas.openxmlformats.org/officeDocument/2006/relationships/hyperlink" Target="https://github.com/Sapienza-BBCD/MZUR-Ornitology/raw/main/img/MZURORN2025-164_1.jpg" TargetMode="External"/><Relationship Id="rId367" Type="http://schemas.openxmlformats.org/officeDocument/2006/relationships/hyperlink" Target="https://github.com/Sapienza-BBCD/MZUR-Ornitology/raw/main/img/MZURORN2025-185_1.jpg" TargetMode="External"/><Relationship Id="rId532" Type="http://schemas.openxmlformats.org/officeDocument/2006/relationships/hyperlink" Target="https://github.com/Sapienza-BBCD/MZUR-Ornitology/raw/main/img/MZURORN2025-267_2.jpg" TargetMode="External"/><Relationship Id="rId574" Type="http://schemas.openxmlformats.org/officeDocument/2006/relationships/hyperlink" Target="https://github.com/Sapienza-BBCD/MZUR-Ornitology/raw/main/img/MZURORN2025-288_2.jpg" TargetMode="External"/><Relationship Id="rId171" Type="http://schemas.openxmlformats.org/officeDocument/2006/relationships/hyperlink" Target="https://github.com/Sapienza-BBCD/MZUR-Ornitology/raw/main/img/MZURORN2025-087_1.jpg" TargetMode="External"/><Relationship Id="rId227" Type="http://schemas.openxmlformats.org/officeDocument/2006/relationships/hyperlink" Target="https://github.com/Sapienza-BBCD/MZUR-Ornitology/raw/main/img/MZURORN2025-115_1.jpg" TargetMode="External"/><Relationship Id="rId269" Type="http://schemas.openxmlformats.org/officeDocument/2006/relationships/hyperlink" Target="https://github.com/Sapienza-BBCD/MZUR-Ornitology/raw/main/img/MZURORN2025-136_1.jpg" TargetMode="External"/><Relationship Id="rId434" Type="http://schemas.openxmlformats.org/officeDocument/2006/relationships/hyperlink" Target="https://github.com/Sapienza-BBCD/MZUR-Ornitology/raw/main/img/MZURORN2025-218_2.jpg" TargetMode="External"/><Relationship Id="rId476" Type="http://schemas.openxmlformats.org/officeDocument/2006/relationships/hyperlink" Target="https://github.com/Sapienza-BBCD/MZUR-Ornitology/raw/main/img/MZURORN2025-239_2.jpg" TargetMode="External"/><Relationship Id="rId33" Type="http://schemas.openxmlformats.org/officeDocument/2006/relationships/hyperlink" Target="https://github.com/Sapienza-BBCD/MZUR-Ornitology/raw/main/img/MZURORN2025-017_1.jpg" TargetMode="External"/><Relationship Id="rId129" Type="http://schemas.openxmlformats.org/officeDocument/2006/relationships/hyperlink" Target="https://github.com/Sapienza-BBCD/MZUR-Ornitology/raw/main/img/MZURORN2025-066_1.jpg" TargetMode="External"/><Relationship Id="rId280" Type="http://schemas.openxmlformats.org/officeDocument/2006/relationships/hyperlink" Target="https://github.com/Sapienza-BBCD/MZUR-Ornitology/raw/main/img/MZURORN2025-141_2.jpg" TargetMode="External"/><Relationship Id="rId336" Type="http://schemas.openxmlformats.org/officeDocument/2006/relationships/hyperlink" Target="https://github.com/Sapienza-BBCD/MZUR-Ornitology/raw/main/img/MZURORN2025-169_2.jpg" TargetMode="External"/><Relationship Id="rId501" Type="http://schemas.openxmlformats.org/officeDocument/2006/relationships/hyperlink" Target="https://github.com/Sapienza-BBCD/MZUR-Ornitology/raw/main/img/MZURORN2025-252_1.jpg" TargetMode="External"/><Relationship Id="rId543" Type="http://schemas.openxmlformats.org/officeDocument/2006/relationships/hyperlink" Target="https://github.com/Sapienza-BBCD/MZUR-Ornitology/raw/main/img/MZURORN2025-273_1.jpg" TargetMode="External"/><Relationship Id="rId75" Type="http://schemas.openxmlformats.org/officeDocument/2006/relationships/hyperlink" Target="https://github.com/Sapienza-BBCD/MZUR-Ornitology/raw/main/img/MZURORN2025-038_1.jpg" TargetMode="External"/><Relationship Id="rId140" Type="http://schemas.openxmlformats.org/officeDocument/2006/relationships/hyperlink" Target="https://github.com/Sapienza-BBCD/MZUR-Ornitology/raw/main/img/MZURORN2025-071_2.jpg" TargetMode="External"/><Relationship Id="rId182" Type="http://schemas.openxmlformats.org/officeDocument/2006/relationships/hyperlink" Target="https://github.com/Sapienza-BBCD/MZUR-Ornitology/raw/main/img/MZURORN2025-092_2.jpg" TargetMode="External"/><Relationship Id="rId378" Type="http://schemas.openxmlformats.org/officeDocument/2006/relationships/hyperlink" Target="https://github.com/Sapienza-BBCD/MZUR-Ornitology/raw/main/img/MZURORN2025-190_2.jpg" TargetMode="External"/><Relationship Id="rId403" Type="http://schemas.openxmlformats.org/officeDocument/2006/relationships/hyperlink" Target="https://github.com/Sapienza-BBCD/MZUR-Ornitology/raw/main/img/MZURORN2025-203_1.jpg" TargetMode="External"/><Relationship Id="rId585" Type="http://schemas.openxmlformats.org/officeDocument/2006/relationships/hyperlink" Target="https://github.com/Sapienza-BBCD/MZUR-Ornitology/raw/main/img/MZURORN2025-294_1.jpg" TargetMode="External"/><Relationship Id="rId6" Type="http://schemas.openxmlformats.org/officeDocument/2006/relationships/hyperlink" Target="https://github.com/Sapienza-BBCD/MZUR-Ornitology/raw/main/img/MZURORN2025-003_2.jpg" TargetMode="External"/><Relationship Id="rId238" Type="http://schemas.openxmlformats.org/officeDocument/2006/relationships/hyperlink" Target="https://github.com/Sapienza-BBCD/MZUR-Ornitology/raw/main/img/MZURORN2025-120_2.jpg" TargetMode="External"/><Relationship Id="rId445" Type="http://schemas.openxmlformats.org/officeDocument/2006/relationships/hyperlink" Target="https://github.com/Sapienza-BBCD/MZUR-Ornitology/raw/main/img/MZURORN2025-224_1.jpg" TargetMode="External"/><Relationship Id="rId487" Type="http://schemas.openxmlformats.org/officeDocument/2006/relationships/hyperlink" Target="https://github.com/Sapienza-BBCD/MZUR-Ornitology/raw/main/img/MZURORN2025-245_1.jpg" TargetMode="External"/><Relationship Id="rId291" Type="http://schemas.openxmlformats.org/officeDocument/2006/relationships/hyperlink" Target="https://github.com/Sapienza-BBCD/MZUR-Ornitology/raw/main/img/MZURORN2025-147_1.jpg" TargetMode="External"/><Relationship Id="rId305" Type="http://schemas.openxmlformats.org/officeDocument/2006/relationships/hyperlink" Target="https://github.com/Sapienza-BBCD/MZUR-Ornitology/raw/main/img/MZURORN2025-154_1.jpg" TargetMode="External"/><Relationship Id="rId347" Type="http://schemas.openxmlformats.org/officeDocument/2006/relationships/hyperlink" Target="https://github.com/Sapienza-BBCD/MZUR-Ornitology/raw/main/img/MZURORN2025-175_1.jpg" TargetMode="External"/><Relationship Id="rId512" Type="http://schemas.openxmlformats.org/officeDocument/2006/relationships/hyperlink" Target="https://github.com/Sapienza-BBCD/MZUR-Ornitology/raw/main/img/MZURORN2025-257_2.jpg" TargetMode="External"/><Relationship Id="rId44" Type="http://schemas.openxmlformats.org/officeDocument/2006/relationships/hyperlink" Target="https://github.com/Sapienza-BBCD/MZUR-Ornitology/raw/main/img/MZURORN2025-022_2.jpg" TargetMode="External"/><Relationship Id="rId86" Type="http://schemas.openxmlformats.org/officeDocument/2006/relationships/hyperlink" Target="https://github.com/Sapienza-BBCD/MZUR-Ornitology/raw/main/img/MZURORN2025-043_2.jpg" TargetMode="External"/><Relationship Id="rId151" Type="http://schemas.openxmlformats.org/officeDocument/2006/relationships/hyperlink" Target="https://github.com/Sapienza-BBCD/MZUR-Ornitology/raw/main/img/MZURORN2025-077_1.jpg" TargetMode="External"/><Relationship Id="rId389" Type="http://schemas.openxmlformats.org/officeDocument/2006/relationships/hyperlink" Target="https://github.com/Sapienza-BBCD/MZUR-Ornitology/raw/main/img/MZURORN2025-196_1.jpg" TargetMode="External"/><Relationship Id="rId554" Type="http://schemas.openxmlformats.org/officeDocument/2006/relationships/hyperlink" Target="https://github.com/Sapienza-BBCD/MZUR-Ornitology/raw/main/img/MZURORN2025-278_2.jpg" TargetMode="External"/><Relationship Id="rId596" Type="http://schemas.openxmlformats.org/officeDocument/2006/relationships/vmlDrawing" Target="../drawings/vmlDrawing1.vml"/><Relationship Id="rId193" Type="http://schemas.openxmlformats.org/officeDocument/2006/relationships/hyperlink" Target="https://github.com/Sapienza-BBCD/MZUR-Ornitology/raw/main/img/MZURORN2025-098_1.jpg" TargetMode="External"/><Relationship Id="rId207" Type="http://schemas.openxmlformats.org/officeDocument/2006/relationships/hyperlink" Target="https://github.com/Sapienza-BBCD/MZUR-Ornitology/raw/main/img/MZURORN2025-105_1.jpg" TargetMode="External"/><Relationship Id="rId249" Type="http://schemas.openxmlformats.org/officeDocument/2006/relationships/hyperlink" Target="https://github.com/Sapienza-BBCD/MZUR-Ornitology/raw/main/img/MZURORN2025-126_1.jpg" TargetMode="External"/><Relationship Id="rId414" Type="http://schemas.openxmlformats.org/officeDocument/2006/relationships/hyperlink" Target="https://github.com/Sapienza-BBCD/MZUR-Ornitology/raw/main/img/MZURORN2025-208_2.jpg" TargetMode="External"/><Relationship Id="rId456" Type="http://schemas.openxmlformats.org/officeDocument/2006/relationships/hyperlink" Target="https://github.com/Sapienza-BBCD/MZUR-Ornitology/raw/main/img/MZURORN2025-229_2.jpg" TargetMode="External"/><Relationship Id="rId498" Type="http://schemas.openxmlformats.org/officeDocument/2006/relationships/hyperlink" Target="https://github.com/Sapienza-BBCD/MZUR-Ornitology/raw/main/img/MZURORN2025-250_2.jpg" TargetMode="External"/><Relationship Id="rId13" Type="http://schemas.openxmlformats.org/officeDocument/2006/relationships/hyperlink" Target="https://github.com/Sapienza-BBCD/MZUR-Ornitology/raw/main/img/MZURORN2025-007_1.jpg" TargetMode="External"/><Relationship Id="rId109" Type="http://schemas.openxmlformats.org/officeDocument/2006/relationships/hyperlink" Target="https://github.com/Sapienza-BBCD/MZUR-Ornitology/raw/main/img/MZURORN2025-055_1.jpg" TargetMode="External"/><Relationship Id="rId260" Type="http://schemas.openxmlformats.org/officeDocument/2006/relationships/hyperlink" Target="https://github.com/Sapienza-BBCD/MZUR-Ornitology/raw/main/img/MZURORN2025-131_2.jpg" TargetMode="External"/><Relationship Id="rId316" Type="http://schemas.openxmlformats.org/officeDocument/2006/relationships/hyperlink" Target="https://github.com/Sapienza-BBCD/MZUR-Ornitology/raw/main/img/MZURORN2025-159_2.jpg" TargetMode="External"/><Relationship Id="rId523" Type="http://schemas.openxmlformats.org/officeDocument/2006/relationships/hyperlink" Target="https://github.com/Sapienza-BBCD/MZUR-Ornitology/raw/main/img/MZURORN2025-263_1.jpg" TargetMode="External"/><Relationship Id="rId55" Type="http://schemas.openxmlformats.org/officeDocument/2006/relationships/hyperlink" Target="https://github.com/Sapienza-BBCD/MZUR-Ornitology/raw/main/img/MZURORN2025-028_1.jpg" TargetMode="External"/><Relationship Id="rId97" Type="http://schemas.openxmlformats.org/officeDocument/2006/relationships/hyperlink" Target="https://github.com/Sapienza-BBCD/MZUR-Ornitology/raw/main/img/MZURORN2025-049_1.jpg" TargetMode="External"/><Relationship Id="rId120" Type="http://schemas.openxmlformats.org/officeDocument/2006/relationships/hyperlink" Target="https://github.com/Sapienza-BBCD/MZUR-Ornitology/raw/main/img/MZURORN2025-061_2.jpg" TargetMode="External"/><Relationship Id="rId358" Type="http://schemas.openxmlformats.org/officeDocument/2006/relationships/hyperlink" Target="https://github.com/Sapienza-BBCD/MZUR-Ornitology/raw/main/img/MZURORN2025-180_2.jpg" TargetMode="External"/><Relationship Id="rId565" Type="http://schemas.openxmlformats.org/officeDocument/2006/relationships/hyperlink" Target="https://github.com/Sapienza-BBCD/MZUR-Ornitology/raw/main/img/MZURORN2025-284_1.jpg" TargetMode="External"/><Relationship Id="rId162" Type="http://schemas.openxmlformats.org/officeDocument/2006/relationships/hyperlink" Target="https://github.com/Sapienza-BBCD/MZUR-Ornitology/raw/main/img/MZURORN2025-082_2.jpg" TargetMode="External"/><Relationship Id="rId218" Type="http://schemas.openxmlformats.org/officeDocument/2006/relationships/hyperlink" Target="https://github.com/Sapienza-BBCD/MZUR-Ornitology/raw/main/img/MZURORN2025-110_2.jpg" TargetMode="External"/><Relationship Id="rId425" Type="http://schemas.openxmlformats.org/officeDocument/2006/relationships/hyperlink" Target="https://github.com/Sapienza-BBCD/MZUR-Ornitology/raw/main/img/MZURORN2025-214_1.jpg" TargetMode="External"/><Relationship Id="rId467" Type="http://schemas.openxmlformats.org/officeDocument/2006/relationships/hyperlink" Target="https://github.com/Sapienza-BBCD/MZUR-Ornitology/raw/main/img/MZURORN2025-235_1.jpg" TargetMode="External"/><Relationship Id="rId271" Type="http://schemas.openxmlformats.org/officeDocument/2006/relationships/hyperlink" Target="https://github.com/Sapienza-BBCD/MZUR-Ornitology/raw/main/img/MZURORN2025-137_1.jpg" TargetMode="External"/><Relationship Id="rId24" Type="http://schemas.openxmlformats.org/officeDocument/2006/relationships/hyperlink" Target="https://github.com/Sapienza-BBCD/MZUR-Ornitology/raw/main/img/MZURORN2025-012_2.jpg" TargetMode="External"/><Relationship Id="rId66" Type="http://schemas.openxmlformats.org/officeDocument/2006/relationships/hyperlink" Target="https://github.com/Sapienza-BBCD/MZUR-Ornitology/raw/main/img/MZURORN2025-033_2.jpg" TargetMode="External"/><Relationship Id="rId131" Type="http://schemas.openxmlformats.org/officeDocument/2006/relationships/hyperlink" Target="https://github.com/Sapienza-BBCD/MZUR-Ornitology/raw/main/img/MZURORN2025-067_1.jpg" TargetMode="External"/><Relationship Id="rId327" Type="http://schemas.openxmlformats.org/officeDocument/2006/relationships/hyperlink" Target="https://github.com/Sapienza-BBCD/MZUR-Ornitology/raw/main/img/MZURORN2025-165_1.jpg" TargetMode="External"/><Relationship Id="rId369" Type="http://schemas.openxmlformats.org/officeDocument/2006/relationships/hyperlink" Target="https://github.com/Sapienza-BBCD/MZUR-Ornitology/raw/main/img/MZURORN2025-186_1.jpg" TargetMode="External"/><Relationship Id="rId534" Type="http://schemas.openxmlformats.org/officeDocument/2006/relationships/hyperlink" Target="https://github.com/Sapienza-BBCD/MZUR-Ornitology/raw/main/img/MZURORN2025-268_2.jpg" TargetMode="External"/><Relationship Id="rId576" Type="http://schemas.openxmlformats.org/officeDocument/2006/relationships/hyperlink" Target="https://github.com/Sapienza-BBCD/MZUR-Ornitology/raw/main/img/MZURORN2025-289_2.jpg" TargetMode="External"/><Relationship Id="rId173" Type="http://schemas.openxmlformats.org/officeDocument/2006/relationships/hyperlink" Target="https://github.com/Sapienza-BBCD/MZUR-Ornitology/raw/main/img/MZURORN2025-088_1.jpg" TargetMode="External"/><Relationship Id="rId229" Type="http://schemas.openxmlformats.org/officeDocument/2006/relationships/hyperlink" Target="https://github.com/Sapienza-BBCD/MZUR-Ornitology/raw/main/img/MZURORN2025-116_1.jpg" TargetMode="External"/><Relationship Id="rId380" Type="http://schemas.openxmlformats.org/officeDocument/2006/relationships/hyperlink" Target="https://github.com/Sapienza-BBCD/MZUR-Ornitology/raw/main/img/MZURORN2025-191_2.jpg" TargetMode="External"/><Relationship Id="rId436" Type="http://schemas.openxmlformats.org/officeDocument/2006/relationships/hyperlink" Target="https://github.com/Sapienza-BBCD/MZUR-Ornitology/raw/main/img/MZURORN2025-219_2.jpg" TargetMode="External"/><Relationship Id="rId240" Type="http://schemas.openxmlformats.org/officeDocument/2006/relationships/hyperlink" Target="https://github.com/Sapienza-BBCD/MZUR-Ornitology/raw/main/img/MZURORN2025-121_2.jpg" TargetMode="External"/><Relationship Id="rId478" Type="http://schemas.openxmlformats.org/officeDocument/2006/relationships/hyperlink" Target="https://github.com/Sapienza-BBCD/MZUR-Ornitology/raw/main/img/MZURORN2025-240_2.jpg" TargetMode="External"/><Relationship Id="rId35" Type="http://schemas.openxmlformats.org/officeDocument/2006/relationships/hyperlink" Target="https://github.com/Sapienza-BBCD/MZUR-Ornitology/raw/main/img/MZURORN2025-018_1.jpg" TargetMode="External"/><Relationship Id="rId77" Type="http://schemas.openxmlformats.org/officeDocument/2006/relationships/hyperlink" Target="https://github.com/Sapienza-BBCD/MZUR-Ornitology/raw/main/img/MZURORN2025-039_1.jpg" TargetMode="External"/><Relationship Id="rId100" Type="http://schemas.openxmlformats.org/officeDocument/2006/relationships/hyperlink" Target="https://github.com/Sapienza-BBCD/MZUR-Ornitology/raw/main/img/MZURORN2025-050_2.jpg" TargetMode="External"/><Relationship Id="rId282" Type="http://schemas.openxmlformats.org/officeDocument/2006/relationships/hyperlink" Target="https://github.com/Sapienza-BBCD/MZUR-Ornitology/raw/main/img/MZURORN2025-142_2.jpg" TargetMode="External"/><Relationship Id="rId338" Type="http://schemas.openxmlformats.org/officeDocument/2006/relationships/hyperlink" Target="https://github.com/Sapienza-BBCD/MZUR-Ornitology/raw/main/img/MZURORN2025-170_2.jpg" TargetMode="External"/><Relationship Id="rId503" Type="http://schemas.openxmlformats.org/officeDocument/2006/relationships/hyperlink" Target="https://github.com/Sapienza-BBCD/MZUR-Ornitology/raw/main/img/MZURORN2025-253_1.jpg" TargetMode="External"/><Relationship Id="rId545" Type="http://schemas.openxmlformats.org/officeDocument/2006/relationships/hyperlink" Target="https://github.com/Sapienza-BBCD/MZUR-Ornitology/raw/main/img/MZURORN2025-274_1.jpg" TargetMode="External"/><Relationship Id="rId587" Type="http://schemas.openxmlformats.org/officeDocument/2006/relationships/hyperlink" Target="https://github.com/Sapienza-BBCD/MZUR-Ornitology/raw/main/img/MZURORN2025-295_1.jpg" TargetMode="External"/><Relationship Id="rId8" Type="http://schemas.openxmlformats.org/officeDocument/2006/relationships/hyperlink" Target="https://github.com/Sapienza-BBCD/MZUR-Ornitology/raw/main/img/MZURORN2025-004_2.jpg" TargetMode="External"/><Relationship Id="rId142" Type="http://schemas.openxmlformats.org/officeDocument/2006/relationships/hyperlink" Target="https://github.com/Sapienza-BBCD/MZUR-Ornitology/raw/main/img/MZURORN2025-072_2.jpg" TargetMode="External"/><Relationship Id="rId184" Type="http://schemas.openxmlformats.org/officeDocument/2006/relationships/hyperlink" Target="https://github.com/Sapienza-BBCD/MZUR-Ornitology/raw/main/img/MZURORN2025-093_2.jpg" TargetMode="External"/><Relationship Id="rId391" Type="http://schemas.openxmlformats.org/officeDocument/2006/relationships/hyperlink" Target="https://github.com/Sapienza-BBCD/MZUR-Ornitology/raw/main/img/MZURORN2025-197_1.jpg" TargetMode="External"/><Relationship Id="rId405" Type="http://schemas.openxmlformats.org/officeDocument/2006/relationships/hyperlink" Target="https://github.com/Sapienza-BBCD/MZUR-Ornitology/raw/main/img/MZURORN2025-204_1.jpg" TargetMode="External"/><Relationship Id="rId447" Type="http://schemas.openxmlformats.org/officeDocument/2006/relationships/hyperlink" Target="https://github.com/Sapienza-BBCD/MZUR-Ornitology/raw/main/img/MZURORN2025-225_1.jpg" TargetMode="External"/><Relationship Id="rId251" Type="http://schemas.openxmlformats.org/officeDocument/2006/relationships/hyperlink" Target="https://github.com/Sapienza-BBCD/MZUR-Ornitology/raw/main/img/MZURORN2025-127_1.jpg" TargetMode="External"/><Relationship Id="rId489" Type="http://schemas.openxmlformats.org/officeDocument/2006/relationships/hyperlink" Target="https://github.com/Sapienza-BBCD/MZUR-Ornitology/raw/main/img/MZURORN2025-246_1.jpg" TargetMode="External"/><Relationship Id="rId46" Type="http://schemas.openxmlformats.org/officeDocument/2006/relationships/hyperlink" Target="https://github.com/Sapienza-BBCD/MZUR-Ornitology/raw/main/img/MZURORN2025-023_2.jpg" TargetMode="External"/><Relationship Id="rId293" Type="http://schemas.openxmlformats.org/officeDocument/2006/relationships/hyperlink" Target="https://github.com/Sapienza-BBCD/MZUR-Ornitology/raw/main/img/MZURORN2025-148_1.jpg" TargetMode="External"/><Relationship Id="rId307" Type="http://schemas.openxmlformats.org/officeDocument/2006/relationships/hyperlink" Target="https://github.com/Sapienza-BBCD/MZUR-Ornitology/raw/main/img/MZURORN2025-155_1.jpg" TargetMode="External"/><Relationship Id="rId349" Type="http://schemas.openxmlformats.org/officeDocument/2006/relationships/hyperlink" Target="https://github.com/Sapienza-BBCD/MZUR-Ornitology/raw/main/img/MZURORN2025-176_1.jpg" TargetMode="External"/><Relationship Id="rId514" Type="http://schemas.openxmlformats.org/officeDocument/2006/relationships/hyperlink" Target="https://github.com/Sapienza-BBCD/MZUR-Ornitology/raw/main/img/MZURORN2025-258_2.jpg" TargetMode="External"/><Relationship Id="rId556" Type="http://schemas.openxmlformats.org/officeDocument/2006/relationships/hyperlink" Target="https://github.com/Sapienza-BBCD/MZUR-Ornitology/raw/main/img/MZURORN2025-279_2.jpg" TargetMode="External"/><Relationship Id="rId88" Type="http://schemas.openxmlformats.org/officeDocument/2006/relationships/hyperlink" Target="https://github.com/Sapienza-BBCD/MZUR-Ornitology/raw/main/img/MZURORN2025-044_2.jpg" TargetMode="External"/><Relationship Id="rId111" Type="http://schemas.openxmlformats.org/officeDocument/2006/relationships/hyperlink" Target="https://github.com/Sapienza-BBCD/MZUR-Ornitology/raw/main/img/MZURORN2025-056_1.jpg" TargetMode="External"/><Relationship Id="rId153" Type="http://schemas.openxmlformats.org/officeDocument/2006/relationships/hyperlink" Target="https://github.com/Sapienza-BBCD/MZUR-Ornitology/raw/main/img/MZURORN2025-078_1.jpg" TargetMode="External"/><Relationship Id="rId195" Type="http://schemas.openxmlformats.org/officeDocument/2006/relationships/hyperlink" Target="https://github.com/Sapienza-BBCD/MZUR-Ornitology/raw/main/img/MZURORN2025-099_1.jpg" TargetMode="External"/><Relationship Id="rId209" Type="http://schemas.openxmlformats.org/officeDocument/2006/relationships/hyperlink" Target="https://github.com/Sapienza-BBCD/MZUR-Ornitology/raw/main/img/MZURORN2025-106_1.jpg" TargetMode="External"/><Relationship Id="rId360" Type="http://schemas.openxmlformats.org/officeDocument/2006/relationships/hyperlink" Target="https://github.com/Sapienza-BBCD/MZUR-Ornitology/raw/main/img/MZURORN2025-181_2.jpg" TargetMode="External"/><Relationship Id="rId416" Type="http://schemas.openxmlformats.org/officeDocument/2006/relationships/hyperlink" Target="https://github.com/Sapienza-BBCD/MZUR-Ornitology/raw/main/img/MZURORN2025-209_2.jpg" TargetMode="External"/><Relationship Id="rId598" Type="http://schemas.openxmlformats.org/officeDocument/2006/relationships/comments" Target="../comments1.xml"/><Relationship Id="rId220" Type="http://schemas.openxmlformats.org/officeDocument/2006/relationships/hyperlink" Target="https://github.com/Sapienza-BBCD/MZUR-Ornitology/raw/main/img/MZURORN2025-111_2.jpg" TargetMode="External"/><Relationship Id="rId458" Type="http://schemas.openxmlformats.org/officeDocument/2006/relationships/hyperlink" Target="https://github.com/Sapienza-BBCD/MZUR-Ornitology/raw/main/img/MZURORN2025-230_2.jpg" TargetMode="External"/><Relationship Id="rId15" Type="http://schemas.openxmlformats.org/officeDocument/2006/relationships/hyperlink" Target="https://github.com/Sapienza-BBCD/MZUR-Ornitology/raw/main/img/MZURORN2025-008_1.jpg" TargetMode="External"/><Relationship Id="rId57" Type="http://schemas.openxmlformats.org/officeDocument/2006/relationships/hyperlink" Target="https://github.com/Sapienza-BBCD/MZUR-Ornitology/raw/main/img/MZURORN2025-029_1.jpg" TargetMode="External"/><Relationship Id="rId262" Type="http://schemas.openxmlformats.org/officeDocument/2006/relationships/hyperlink" Target="https://github.com/Sapienza-BBCD/MZUR-Ornitology/raw/main/img/MZURORN2025-132_2.jpg" TargetMode="External"/><Relationship Id="rId318" Type="http://schemas.openxmlformats.org/officeDocument/2006/relationships/hyperlink" Target="https://github.com/Sapienza-BBCD/MZUR-Ornitology/raw/main/img/MZURORN2025-160_2.jpg" TargetMode="External"/><Relationship Id="rId525" Type="http://schemas.openxmlformats.org/officeDocument/2006/relationships/hyperlink" Target="https://github.com/Sapienza-BBCD/MZUR-Ornitology/raw/main/img/MZURORN2025-264_1.jpg" TargetMode="External"/><Relationship Id="rId567" Type="http://schemas.openxmlformats.org/officeDocument/2006/relationships/hyperlink" Target="https://github.com/Sapienza-BBCD/MZUR-Ornitology/raw/main/img/MZURORN2025-285_1.jpg" TargetMode="External"/><Relationship Id="rId99" Type="http://schemas.openxmlformats.org/officeDocument/2006/relationships/hyperlink" Target="https://github.com/Sapienza-BBCD/MZUR-Ornitology/raw/main/img/MZURORN2025-050_1.jpg" TargetMode="External"/><Relationship Id="rId122" Type="http://schemas.openxmlformats.org/officeDocument/2006/relationships/hyperlink" Target="https://github.com/Sapienza-BBCD/MZUR-Ornitology/raw/main/img/MZURORN2025-062_2.jpg" TargetMode="External"/><Relationship Id="rId164" Type="http://schemas.openxmlformats.org/officeDocument/2006/relationships/hyperlink" Target="https://github.com/Sapienza-BBCD/MZUR-Ornitology/raw/main/img/MZURORN2025-083_2.jpg" TargetMode="External"/><Relationship Id="rId371" Type="http://schemas.openxmlformats.org/officeDocument/2006/relationships/hyperlink" Target="https://github.com/Sapienza-BBCD/MZUR-Ornitology/raw/main/img/MZURORN2025-187_1.jpg" TargetMode="External"/><Relationship Id="rId427" Type="http://schemas.openxmlformats.org/officeDocument/2006/relationships/hyperlink" Target="https://github.com/Sapienza-BBCD/MZUR-Ornitology/raw/main/img/MZURORN2025-215_1.jpg" TargetMode="External"/><Relationship Id="rId469" Type="http://schemas.openxmlformats.org/officeDocument/2006/relationships/hyperlink" Target="https://github.com/Sapienza-BBCD/MZUR-Ornitology/raw/main/img/MZURORN2025-236_1.jpg" TargetMode="External"/><Relationship Id="rId26" Type="http://schemas.openxmlformats.org/officeDocument/2006/relationships/hyperlink" Target="https://github.com/Sapienza-BBCD/MZUR-Ornitology/raw/main/img/MZURORN2025-013_2.jpg" TargetMode="External"/><Relationship Id="rId231" Type="http://schemas.openxmlformats.org/officeDocument/2006/relationships/hyperlink" Target="https://github.com/Sapienza-BBCD/MZUR-Ornitology/raw/main/img/MZURORN2025-117_1.jpg" TargetMode="External"/><Relationship Id="rId273" Type="http://schemas.openxmlformats.org/officeDocument/2006/relationships/hyperlink" Target="https://github.com/Sapienza-BBCD/MZUR-Ornitology/raw/main/img/MZURORN2025-138_1.jpg" TargetMode="External"/><Relationship Id="rId329" Type="http://schemas.openxmlformats.org/officeDocument/2006/relationships/hyperlink" Target="https://github.com/Sapienza-BBCD/MZUR-Ornitology/raw/main/img/MZURORN2025-166_1.jpg" TargetMode="External"/><Relationship Id="rId480" Type="http://schemas.openxmlformats.org/officeDocument/2006/relationships/hyperlink" Target="https://github.com/Sapienza-BBCD/MZUR-Ornitology/raw/main/img/MZURORN2025-241_2.jpg" TargetMode="External"/><Relationship Id="rId536" Type="http://schemas.openxmlformats.org/officeDocument/2006/relationships/hyperlink" Target="https://github.com/Sapienza-BBCD/MZUR-Ornitology/raw/main/img/MZURORN2025-269_2.jpg" TargetMode="External"/><Relationship Id="rId68" Type="http://schemas.openxmlformats.org/officeDocument/2006/relationships/hyperlink" Target="https://github.com/Sapienza-BBCD/MZUR-Ornitology/raw/main/img/MZURORN2025-034_2.jpg" TargetMode="External"/><Relationship Id="rId133" Type="http://schemas.openxmlformats.org/officeDocument/2006/relationships/hyperlink" Target="https://github.com/Sapienza-BBCD/MZUR-Ornitology/raw/main/img/MZURORN2025-068_1.jpg" TargetMode="External"/><Relationship Id="rId175" Type="http://schemas.openxmlformats.org/officeDocument/2006/relationships/hyperlink" Target="https://github.com/Sapienza-BBCD/MZUR-Ornitology/raw/main/img/MZURORN2025-089_1.jpg" TargetMode="External"/><Relationship Id="rId340" Type="http://schemas.openxmlformats.org/officeDocument/2006/relationships/hyperlink" Target="https://github.com/Sapienza-BBCD/MZUR-Ornitology/raw/main/img/MZURORN2025-171_2.jpg" TargetMode="External"/><Relationship Id="rId578" Type="http://schemas.openxmlformats.org/officeDocument/2006/relationships/hyperlink" Target="https://github.com/Sapienza-BBCD/MZUR-Ornitology/raw/main/img/MZURORN2025-290_2.jpg" TargetMode="External"/><Relationship Id="rId200" Type="http://schemas.openxmlformats.org/officeDocument/2006/relationships/hyperlink" Target="https://github.com/Sapienza-BBCD/MZUR-Ornitology/raw/main/img/MZURORN2025-101_2.jpg" TargetMode="External"/><Relationship Id="rId382" Type="http://schemas.openxmlformats.org/officeDocument/2006/relationships/hyperlink" Target="https://github.com/Sapienza-BBCD/MZUR-Ornitology/raw/main/img/MZURORN2025-192_2.jpg" TargetMode="External"/><Relationship Id="rId438" Type="http://schemas.openxmlformats.org/officeDocument/2006/relationships/hyperlink" Target="https://github.com/Sapienza-BBCD/MZUR-Ornitology/raw/main/img/MZURORN2025-220_2.jpg" TargetMode="External"/><Relationship Id="rId242" Type="http://schemas.openxmlformats.org/officeDocument/2006/relationships/hyperlink" Target="https://github.com/Sapienza-BBCD/MZUR-Ornitology/raw/main/img/MZURORN2025-122_2.jpg" TargetMode="External"/><Relationship Id="rId284" Type="http://schemas.openxmlformats.org/officeDocument/2006/relationships/hyperlink" Target="https://github.com/Sapienza-BBCD/MZUR-Ornitology/raw/main/img/MZURORN2025-143_2.jpg" TargetMode="External"/><Relationship Id="rId491" Type="http://schemas.openxmlformats.org/officeDocument/2006/relationships/hyperlink" Target="https://github.com/Sapienza-BBCD/MZUR-Ornitology/raw/main/img/MZURORN2025-247_1.jpg" TargetMode="External"/><Relationship Id="rId505" Type="http://schemas.openxmlformats.org/officeDocument/2006/relationships/hyperlink" Target="https://github.com/Sapienza-BBCD/MZUR-Ornitology/raw/main/img/MZURORN2025-254_1.jpg" TargetMode="External"/><Relationship Id="rId37" Type="http://schemas.openxmlformats.org/officeDocument/2006/relationships/hyperlink" Target="https://github.com/Sapienza-BBCD/MZUR-Ornitology/raw/main/img/MZURORN2025-019_1.jpg" TargetMode="External"/><Relationship Id="rId79" Type="http://schemas.openxmlformats.org/officeDocument/2006/relationships/hyperlink" Target="https://github.com/Sapienza-BBCD/MZUR-Ornitology/raw/main/img/MZURORN2025-040_1.jpg" TargetMode="External"/><Relationship Id="rId102" Type="http://schemas.openxmlformats.org/officeDocument/2006/relationships/hyperlink" Target="https://github.com/Sapienza-BBCD/MZUR-Ornitology/raw/main/img/MZURORN2025-051_2.jpg" TargetMode="External"/><Relationship Id="rId144" Type="http://schemas.openxmlformats.org/officeDocument/2006/relationships/hyperlink" Target="https://github.com/Sapienza-BBCD/MZUR-Ornitology/raw/main/img/MZURORN2025-073_2.jpg" TargetMode="External"/><Relationship Id="rId547" Type="http://schemas.openxmlformats.org/officeDocument/2006/relationships/hyperlink" Target="https://github.com/Sapienza-BBCD/MZUR-Ornitology/raw/main/img/MZURORN2025-275_1.jpg" TargetMode="External"/><Relationship Id="rId589" Type="http://schemas.openxmlformats.org/officeDocument/2006/relationships/hyperlink" Target="https://github.com/Sapienza-BBCD/MZUR-Ornitology/raw/main/img/MZURORN2025-296_1.jpg" TargetMode="External"/><Relationship Id="rId90" Type="http://schemas.openxmlformats.org/officeDocument/2006/relationships/hyperlink" Target="https://github.com/Sapienza-BBCD/MZUR-Ornitology/raw/main/img/MZURORN2025-045_2.jpg" TargetMode="External"/><Relationship Id="rId186" Type="http://schemas.openxmlformats.org/officeDocument/2006/relationships/hyperlink" Target="https://github.com/Sapienza-BBCD/MZUR-Ornitology/raw/main/img/MZURORN2025-094_2.jpg" TargetMode="External"/><Relationship Id="rId351" Type="http://schemas.openxmlformats.org/officeDocument/2006/relationships/hyperlink" Target="https://github.com/Sapienza-BBCD/MZUR-Ornitology/raw/main/img/MZURORN2025-177_1.jpg" TargetMode="External"/><Relationship Id="rId393" Type="http://schemas.openxmlformats.org/officeDocument/2006/relationships/hyperlink" Target="https://github.com/Sapienza-BBCD/MZUR-Ornitology/raw/main/img/MZURORN2025-198_1.jpg" TargetMode="External"/><Relationship Id="rId407" Type="http://schemas.openxmlformats.org/officeDocument/2006/relationships/hyperlink" Target="https://github.com/Sapienza-BBCD/MZUR-Ornitology/raw/main/img/MZURORN2025-205_1.jpg" TargetMode="External"/><Relationship Id="rId449" Type="http://schemas.openxmlformats.org/officeDocument/2006/relationships/hyperlink" Target="https://github.com/Sapienza-BBCD/MZUR-Ornitology/raw/main/img/MZURORN2025-226_1.jpg" TargetMode="External"/><Relationship Id="rId211" Type="http://schemas.openxmlformats.org/officeDocument/2006/relationships/hyperlink" Target="https://github.com/Sapienza-BBCD/MZUR-Ornitology/raw/main/img/MZURORN2025-107_1.jpg" TargetMode="External"/><Relationship Id="rId253" Type="http://schemas.openxmlformats.org/officeDocument/2006/relationships/hyperlink" Target="https://github.com/Sapienza-BBCD/MZUR-Ornitology/raw/main/img/MZURORN2025-128_1.jpg" TargetMode="External"/><Relationship Id="rId295" Type="http://schemas.openxmlformats.org/officeDocument/2006/relationships/hyperlink" Target="https://github.com/Sapienza-BBCD/MZUR-Ornitology/raw/main/img/MZURORN2025-149_1.jpg" TargetMode="External"/><Relationship Id="rId309" Type="http://schemas.openxmlformats.org/officeDocument/2006/relationships/hyperlink" Target="https://github.com/Sapienza-BBCD/MZUR-Ornitology/raw/main/img/MZURORN2025-156_1.jpg" TargetMode="External"/><Relationship Id="rId460" Type="http://schemas.openxmlformats.org/officeDocument/2006/relationships/hyperlink" Target="https://github.com/Sapienza-BBCD/MZUR-Ornitology/raw/main/img/MZURORN2025-231_2.jpg" TargetMode="External"/><Relationship Id="rId516" Type="http://schemas.openxmlformats.org/officeDocument/2006/relationships/hyperlink" Target="https://github.com/Sapienza-BBCD/MZUR-Ornitology/raw/main/img/MZURORN2025-259_2.jpg" TargetMode="External"/><Relationship Id="rId48" Type="http://schemas.openxmlformats.org/officeDocument/2006/relationships/hyperlink" Target="https://github.com/Sapienza-BBCD/MZUR-Ornitology/raw/main/img/MZURORN2025-024_2.jpg" TargetMode="External"/><Relationship Id="rId113" Type="http://schemas.openxmlformats.org/officeDocument/2006/relationships/hyperlink" Target="https://github.com/Sapienza-BBCD/MZUR-Ornitology/raw/main/img/MZURORN2025-057_1.jpg" TargetMode="External"/><Relationship Id="rId320" Type="http://schemas.openxmlformats.org/officeDocument/2006/relationships/hyperlink" Target="https://github.com/Sapienza-BBCD/MZUR-Ornitology/raw/main/img/MZURORN2025-161_2.jpg" TargetMode="External"/><Relationship Id="rId558" Type="http://schemas.openxmlformats.org/officeDocument/2006/relationships/hyperlink" Target="https://github.com/Sapienza-BBCD/MZUR-Ornitology/raw/main/img/MZURORN2025-280_2.jpg" TargetMode="External"/><Relationship Id="rId155" Type="http://schemas.openxmlformats.org/officeDocument/2006/relationships/hyperlink" Target="https://github.com/Sapienza-BBCD/MZUR-Ornitology/raw/main/img/MZURORN2025-079_1.jpg" TargetMode="External"/><Relationship Id="rId197" Type="http://schemas.openxmlformats.org/officeDocument/2006/relationships/hyperlink" Target="https://github.com/Sapienza-BBCD/MZUR-Ornitology/raw/main/img/MZURORN2025-100_1.jpg" TargetMode="External"/><Relationship Id="rId362" Type="http://schemas.openxmlformats.org/officeDocument/2006/relationships/hyperlink" Target="https://github.com/Sapienza-BBCD/MZUR-Ornitology/raw/main/img/MZURORN2025-182_2.jpg" TargetMode="External"/><Relationship Id="rId418" Type="http://schemas.openxmlformats.org/officeDocument/2006/relationships/hyperlink" Target="https://github.com/Sapienza-BBCD/MZUR-Ornitology/raw/main/img/MZURORN2025-210_2.jpg" TargetMode="External"/><Relationship Id="rId222" Type="http://schemas.openxmlformats.org/officeDocument/2006/relationships/hyperlink" Target="https://github.com/Sapienza-BBCD/MZUR-Ornitology/raw/main/img/MZURORN2025-112_2.jpg" TargetMode="External"/><Relationship Id="rId264" Type="http://schemas.openxmlformats.org/officeDocument/2006/relationships/hyperlink" Target="https://github.com/Sapienza-BBCD/MZUR-Ornitology/raw/main/img/MZURORN2025-133_2.jpg" TargetMode="External"/><Relationship Id="rId471" Type="http://schemas.openxmlformats.org/officeDocument/2006/relationships/hyperlink" Target="https://github.com/Sapienza-BBCD/MZUR-Ornitology/raw/main/img/MZURORN2025-237_1.jpg" TargetMode="External"/><Relationship Id="rId17" Type="http://schemas.openxmlformats.org/officeDocument/2006/relationships/hyperlink" Target="https://github.com/Sapienza-BBCD/MZUR-Ornitology/raw/main/img/MZURORN2025-009_1.jpg" TargetMode="External"/><Relationship Id="rId59" Type="http://schemas.openxmlformats.org/officeDocument/2006/relationships/hyperlink" Target="https://github.com/Sapienza-BBCD/MZUR-Ornitology/raw/main/img/MZURORN2025-030_1.jpg" TargetMode="External"/><Relationship Id="rId124" Type="http://schemas.openxmlformats.org/officeDocument/2006/relationships/hyperlink" Target="https://github.com/Sapienza-BBCD/MZUR-Ornitology/raw/main/img/MZURORN2025-063_2.jpg" TargetMode="External"/><Relationship Id="rId527" Type="http://schemas.openxmlformats.org/officeDocument/2006/relationships/hyperlink" Target="https://github.com/Sapienza-BBCD/MZUR-Ornitology/raw/main/img/MZURORN2025-265_1.jpg" TargetMode="External"/><Relationship Id="rId569" Type="http://schemas.openxmlformats.org/officeDocument/2006/relationships/hyperlink" Target="https://github.com/Sapienza-BBCD/MZUR-Ornitology/raw/main/img/MZURORN2025-286_1.jpg" TargetMode="External"/><Relationship Id="rId70" Type="http://schemas.openxmlformats.org/officeDocument/2006/relationships/hyperlink" Target="https://github.com/Sapienza-BBCD/MZUR-Ornitology/raw/main/img/MZURORN2025-035_2.jpg" TargetMode="External"/><Relationship Id="rId166" Type="http://schemas.openxmlformats.org/officeDocument/2006/relationships/hyperlink" Target="https://github.com/Sapienza-BBCD/MZUR-Ornitology/raw/main/img/MZURORN2025-084_2.jpg" TargetMode="External"/><Relationship Id="rId331" Type="http://schemas.openxmlformats.org/officeDocument/2006/relationships/hyperlink" Target="https://github.com/Sapienza-BBCD/MZUR-Ornitology/raw/main/img/MZURORN2025-167_1.jpg" TargetMode="External"/><Relationship Id="rId373" Type="http://schemas.openxmlformats.org/officeDocument/2006/relationships/hyperlink" Target="https://github.com/Sapienza-BBCD/MZUR-Ornitology/raw/main/img/MZURORN2025-188_1.jpg" TargetMode="External"/><Relationship Id="rId429" Type="http://schemas.openxmlformats.org/officeDocument/2006/relationships/hyperlink" Target="https://github.com/Sapienza-BBCD/MZUR-Ornitology/raw/main/img/MZURORN2025-216_1.jpg" TargetMode="External"/><Relationship Id="rId580" Type="http://schemas.openxmlformats.org/officeDocument/2006/relationships/hyperlink" Target="https://github.com/Sapienza-BBCD/MZUR-Ornitology/raw/main/img/MZURORN2025-291_2.jpg" TargetMode="External"/><Relationship Id="rId1" Type="http://schemas.openxmlformats.org/officeDocument/2006/relationships/hyperlink" Target="https://github.com/Sapienza-BBCD/MZUR-Ornitology/raw/main/img/MZURORN2025-001_1.jpg" TargetMode="External"/><Relationship Id="rId233" Type="http://schemas.openxmlformats.org/officeDocument/2006/relationships/hyperlink" Target="https://github.com/Sapienza-BBCD/MZUR-Ornitology/raw/main/img/MZURORN2025-118_1.jpg" TargetMode="External"/><Relationship Id="rId440" Type="http://schemas.openxmlformats.org/officeDocument/2006/relationships/hyperlink" Target="https://github.com/Sapienza-BBCD/MZUR-Ornitology/raw/main/img/MZURORN2025-221_2.jpg" TargetMode="External"/><Relationship Id="rId28" Type="http://schemas.openxmlformats.org/officeDocument/2006/relationships/hyperlink" Target="https://github.com/Sapienza-BBCD/MZUR-Ornitology/raw/main/img/MZURORN2025-014_2.jpg" TargetMode="External"/><Relationship Id="rId275" Type="http://schemas.openxmlformats.org/officeDocument/2006/relationships/hyperlink" Target="https://github.com/Sapienza-BBCD/MZUR-Ornitology/raw/main/img/MZURORN2025-139_1.jpg" TargetMode="External"/><Relationship Id="rId300" Type="http://schemas.openxmlformats.org/officeDocument/2006/relationships/hyperlink" Target="https://github.com/Sapienza-BBCD/MZUR-Ornitology/raw/main/img/MZURORN2025-151_2.jpg" TargetMode="External"/><Relationship Id="rId482" Type="http://schemas.openxmlformats.org/officeDocument/2006/relationships/hyperlink" Target="https://github.com/Sapienza-BBCD/MZUR-Ornitology/raw/main/img/MZURORN2025-242_2.jpg" TargetMode="External"/><Relationship Id="rId538" Type="http://schemas.openxmlformats.org/officeDocument/2006/relationships/hyperlink" Target="https://github.com/Sapienza-BBCD/MZUR-Ornitology/raw/main/img/MZURORN2025-270_2.jpg" TargetMode="External"/><Relationship Id="rId81" Type="http://schemas.openxmlformats.org/officeDocument/2006/relationships/hyperlink" Target="https://github.com/Sapienza-BBCD/MZUR-Ornitology/raw/main/img/MZURORN2025-041_1.jpg" TargetMode="External"/><Relationship Id="rId135" Type="http://schemas.openxmlformats.org/officeDocument/2006/relationships/hyperlink" Target="https://github.com/Sapienza-BBCD/MZUR-Ornitology/raw/main/img/MZURORN2025-069_1.jpg" TargetMode="External"/><Relationship Id="rId177" Type="http://schemas.openxmlformats.org/officeDocument/2006/relationships/hyperlink" Target="https://github.com/Sapienza-BBCD/MZUR-Ornitology/raw/main/img/MZURORN2025-090_1.jpg" TargetMode="External"/><Relationship Id="rId342" Type="http://schemas.openxmlformats.org/officeDocument/2006/relationships/hyperlink" Target="https://github.com/Sapienza-BBCD/MZUR-Ornitology/raw/main/img/MZURORN2025-172_2.jpg" TargetMode="External"/><Relationship Id="rId384" Type="http://schemas.openxmlformats.org/officeDocument/2006/relationships/hyperlink" Target="https://github.com/Sapienza-BBCD/MZUR-Ornitology/raw/main/img/MZURORN2025-193_2.jpg" TargetMode="External"/><Relationship Id="rId591" Type="http://schemas.openxmlformats.org/officeDocument/2006/relationships/hyperlink" Target="https://github.com/Sapienza-BBCD/MZUR-Ornitology/raw/main/img/MZURORN2025-297_1.jpg" TargetMode="External"/><Relationship Id="rId202" Type="http://schemas.openxmlformats.org/officeDocument/2006/relationships/hyperlink" Target="https://github.com/Sapienza-BBCD/MZUR-Ornitology/raw/main/img/MZURORN2025-102_2.jpg" TargetMode="External"/><Relationship Id="rId244" Type="http://schemas.openxmlformats.org/officeDocument/2006/relationships/hyperlink" Target="https://github.com/Sapienza-BBCD/MZUR-Ornitology/raw/main/img/MZURORN2025-123_2.jpg" TargetMode="External"/><Relationship Id="rId39" Type="http://schemas.openxmlformats.org/officeDocument/2006/relationships/hyperlink" Target="https://github.com/Sapienza-BBCD/MZUR-Ornitology/raw/main/img/MZURORN2025-020_1.jpg" TargetMode="External"/><Relationship Id="rId286" Type="http://schemas.openxmlformats.org/officeDocument/2006/relationships/hyperlink" Target="https://github.com/Sapienza-BBCD/MZUR-Ornitology/raw/main/img/MZURORN2025-144_2.jpg" TargetMode="External"/><Relationship Id="rId451" Type="http://schemas.openxmlformats.org/officeDocument/2006/relationships/hyperlink" Target="https://github.com/Sapienza-BBCD/MZUR-Ornitology/raw/main/img/MZURORN2025-227_1.jpg" TargetMode="External"/><Relationship Id="rId493" Type="http://schemas.openxmlformats.org/officeDocument/2006/relationships/hyperlink" Target="https://github.com/Sapienza-BBCD/MZUR-Ornitology/raw/main/img/MZURORN2025-248_1.jpg" TargetMode="External"/><Relationship Id="rId507" Type="http://schemas.openxmlformats.org/officeDocument/2006/relationships/hyperlink" Target="https://github.com/Sapienza-BBCD/MZUR-Ornitology/raw/main/img/MZURORN2025-255_1.jpg" TargetMode="External"/><Relationship Id="rId549" Type="http://schemas.openxmlformats.org/officeDocument/2006/relationships/hyperlink" Target="https://github.com/Sapienza-BBCD/MZUR-Ornitology/raw/main/img/MZURORN2025-276_1.jpg" TargetMode="External"/><Relationship Id="rId50" Type="http://schemas.openxmlformats.org/officeDocument/2006/relationships/hyperlink" Target="https://github.com/Sapienza-BBCD/MZUR-Ornitology/raw/main/img/MZURORN2025-025_2.jpg" TargetMode="External"/><Relationship Id="rId104" Type="http://schemas.openxmlformats.org/officeDocument/2006/relationships/hyperlink" Target="https://github.com/Sapienza-BBCD/MZUR-Ornitology/raw/main/img/MZURORN2025-052_2.jpg" TargetMode="External"/><Relationship Id="rId146" Type="http://schemas.openxmlformats.org/officeDocument/2006/relationships/hyperlink" Target="https://github.com/Sapienza-BBCD/MZUR-Ornitology/raw/main/img/MZURORN2025-074_2.jpg" TargetMode="External"/><Relationship Id="rId188" Type="http://schemas.openxmlformats.org/officeDocument/2006/relationships/hyperlink" Target="https://github.com/Sapienza-BBCD/MZUR-Ornitology/raw/main/img/MZURORN2025-095_2.jpg" TargetMode="External"/><Relationship Id="rId311" Type="http://schemas.openxmlformats.org/officeDocument/2006/relationships/hyperlink" Target="https://github.com/Sapienza-BBCD/MZUR-Ornitology/raw/main/img/MZURORN2025-157_1.jpg" TargetMode="External"/><Relationship Id="rId353" Type="http://schemas.openxmlformats.org/officeDocument/2006/relationships/hyperlink" Target="https://github.com/Sapienza-BBCD/MZUR-Ornitology/raw/main/img/MZURORN2025-178_1.jpg" TargetMode="External"/><Relationship Id="rId395" Type="http://schemas.openxmlformats.org/officeDocument/2006/relationships/hyperlink" Target="https://github.com/Sapienza-BBCD/MZUR-Ornitology/raw/main/img/MZURORN2025-199_1.jpg" TargetMode="External"/><Relationship Id="rId409" Type="http://schemas.openxmlformats.org/officeDocument/2006/relationships/hyperlink" Target="https://github.com/Sapienza-BBCD/MZUR-Ornitology/raw/main/img/MZURORN2025-206_1.jpg" TargetMode="External"/><Relationship Id="rId560" Type="http://schemas.openxmlformats.org/officeDocument/2006/relationships/hyperlink" Target="https://github.com/Sapienza-BBCD/MZUR-Ornitology/raw/main/img/MZURORN2025-281_2.jpg" TargetMode="External"/><Relationship Id="rId92" Type="http://schemas.openxmlformats.org/officeDocument/2006/relationships/hyperlink" Target="https://github.com/Sapienza-BBCD/MZUR-Ornitology/raw/main/img/MZURORN2025-046_2.jpg" TargetMode="External"/><Relationship Id="rId213" Type="http://schemas.openxmlformats.org/officeDocument/2006/relationships/hyperlink" Target="https://github.com/Sapienza-BBCD/MZUR-Ornitology/raw/main/img/MZURORN2025-108_1.jpg" TargetMode="External"/><Relationship Id="rId420" Type="http://schemas.openxmlformats.org/officeDocument/2006/relationships/hyperlink" Target="https://github.com/Sapienza-BBCD/MZUR-Ornitology/raw/main/img/MZURORN2025-211_2.jpg" TargetMode="External"/><Relationship Id="rId255" Type="http://schemas.openxmlformats.org/officeDocument/2006/relationships/hyperlink" Target="https://github.com/Sapienza-BBCD/MZUR-Ornitology/raw/main/img/MZURORN2025-129_1.jpg" TargetMode="External"/><Relationship Id="rId297" Type="http://schemas.openxmlformats.org/officeDocument/2006/relationships/hyperlink" Target="https://github.com/Sapienza-BBCD/MZUR-Ornitology/raw/main/img/MZURORN2025-150_1.jpg" TargetMode="External"/><Relationship Id="rId462" Type="http://schemas.openxmlformats.org/officeDocument/2006/relationships/hyperlink" Target="https://github.com/Sapienza-BBCD/MZUR-Ornitology/raw/main/img/MZURORN2025-232_2.jpg" TargetMode="External"/><Relationship Id="rId518" Type="http://schemas.openxmlformats.org/officeDocument/2006/relationships/hyperlink" Target="https://github.com/Sapienza-BBCD/MZUR-Ornitology/raw/main/img/MZURORN2025-260_2.jpg" TargetMode="External"/><Relationship Id="rId115" Type="http://schemas.openxmlformats.org/officeDocument/2006/relationships/hyperlink" Target="https://github.com/Sapienza-BBCD/MZUR-Ornitology/raw/main/img/MZURORN2025-059_1.jpg" TargetMode="External"/><Relationship Id="rId157" Type="http://schemas.openxmlformats.org/officeDocument/2006/relationships/hyperlink" Target="https://github.com/Sapienza-BBCD/MZUR-Ornitology/raw/main/img/MZURORN2025-080_1.jpg" TargetMode="External"/><Relationship Id="rId322" Type="http://schemas.openxmlformats.org/officeDocument/2006/relationships/hyperlink" Target="https://github.com/Sapienza-BBCD/MZUR-Ornitology/raw/main/img/MZURORN2025-162_2.jpg" TargetMode="External"/><Relationship Id="rId364" Type="http://schemas.openxmlformats.org/officeDocument/2006/relationships/hyperlink" Target="https://github.com/Sapienza-BBCD/MZUR-Ornitology/raw/main/img/MZURORN2025-183_2.jpg" TargetMode="External"/><Relationship Id="rId61" Type="http://schemas.openxmlformats.org/officeDocument/2006/relationships/hyperlink" Target="https://github.com/Sapienza-BBCD/MZUR-Ornitology/raw/main/img/MZURORN2025-031_1.jpg" TargetMode="External"/><Relationship Id="rId199" Type="http://schemas.openxmlformats.org/officeDocument/2006/relationships/hyperlink" Target="https://github.com/Sapienza-BBCD/MZUR-Ornitology/raw/main/img/MZURORN2025-101_1.jpg" TargetMode="External"/><Relationship Id="rId571" Type="http://schemas.openxmlformats.org/officeDocument/2006/relationships/hyperlink" Target="https://github.com/Sapienza-BBCD/MZUR-Ornitology/raw/main/img/MZURORN2025-287_1.jpg" TargetMode="External"/><Relationship Id="rId19" Type="http://schemas.openxmlformats.org/officeDocument/2006/relationships/hyperlink" Target="https://github.com/Sapienza-BBCD/MZUR-Ornitology/raw/main/img/MZURORN2025-010_1.jpg" TargetMode="External"/><Relationship Id="rId224" Type="http://schemas.openxmlformats.org/officeDocument/2006/relationships/hyperlink" Target="https://github.com/Sapienza-BBCD/MZUR-Ornitology/raw/main/img/MZURORN2025-113_2.jpg" TargetMode="External"/><Relationship Id="rId266" Type="http://schemas.openxmlformats.org/officeDocument/2006/relationships/hyperlink" Target="https://github.com/Sapienza-BBCD/MZUR-Ornitology/raw/main/img/MZURORN2025-134_2.jpg" TargetMode="External"/><Relationship Id="rId431" Type="http://schemas.openxmlformats.org/officeDocument/2006/relationships/hyperlink" Target="https://github.com/Sapienza-BBCD/MZUR-Ornitology/raw/main/img/MZURORN2025-217_1.jpg" TargetMode="External"/><Relationship Id="rId473" Type="http://schemas.openxmlformats.org/officeDocument/2006/relationships/hyperlink" Target="https://github.com/Sapienza-BBCD/MZUR-Ornitology/raw/main/img/MZURORN2025-238_1.jpg" TargetMode="External"/><Relationship Id="rId529" Type="http://schemas.openxmlformats.org/officeDocument/2006/relationships/hyperlink" Target="https://github.com/Sapienza-BBCD/MZUR-Ornitology/raw/main/img/MZURORN2025-266_1.jpg" TargetMode="External"/><Relationship Id="rId30" Type="http://schemas.openxmlformats.org/officeDocument/2006/relationships/hyperlink" Target="https://github.com/Sapienza-BBCD/MZUR-Ornitology/raw/main/img/MZURORN2025-015_2.jpg" TargetMode="External"/><Relationship Id="rId126" Type="http://schemas.openxmlformats.org/officeDocument/2006/relationships/hyperlink" Target="https://github.com/Sapienza-BBCD/MZUR-Ornitology/raw/main/img/MZURORN2025-064_2.jpg" TargetMode="External"/><Relationship Id="rId168" Type="http://schemas.openxmlformats.org/officeDocument/2006/relationships/hyperlink" Target="https://github.com/Sapienza-BBCD/MZUR-Ornitology/raw/main/img/MZURORN2025-085_2.jpg" TargetMode="External"/><Relationship Id="rId333" Type="http://schemas.openxmlformats.org/officeDocument/2006/relationships/hyperlink" Target="https://github.com/Sapienza-BBCD/MZUR-Ornitology/raw/main/img/MZURORN2025-168_1.jpg" TargetMode="External"/><Relationship Id="rId540" Type="http://schemas.openxmlformats.org/officeDocument/2006/relationships/hyperlink" Target="https://github.com/Sapienza-BBCD/MZUR-Ornitology/raw/main/img/MZURORN2025-271_2.jpg" TargetMode="External"/><Relationship Id="rId72" Type="http://schemas.openxmlformats.org/officeDocument/2006/relationships/hyperlink" Target="https://github.com/Sapienza-BBCD/MZUR-Ornitology/raw/main/img/MZURORN2025-036_2.jpg" TargetMode="External"/><Relationship Id="rId375" Type="http://schemas.openxmlformats.org/officeDocument/2006/relationships/hyperlink" Target="https://github.com/Sapienza-BBCD/MZUR-Ornitology/raw/main/img/MZURORN2025-189_1.jpg" TargetMode="External"/><Relationship Id="rId582" Type="http://schemas.openxmlformats.org/officeDocument/2006/relationships/hyperlink" Target="https://github.com/Sapienza-BBCD/MZUR-Ornitology/raw/main/img/MZURORN2025-292_2.jpg" TargetMode="External"/><Relationship Id="rId3" Type="http://schemas.openxmlformats.org/officeDocument/2006/relationships/hyperlink" Target="https://github.com/Sapienza-BBCD/MZUR-Ornitology/raw/main/img/MZURORN2025-002_1.jpg" TargetMode="External"/><Relationship Id="rId235" Type="http://schemas.openxmlformats.org/officeDocument/2006/relationships/hyperlink" Target="https://github.com/Sapienza-BBCD/MZUR-Ornitology/raw/main/img/MZURORN2025-119_1.jpg" TargetMode="External"/><Relationship Id="rId277" Type="http://schemas.openxmlformats.org/officeDocument/2006/relationships/hyperlink" Target="https://github.com/Sapienza-BBCD/MZUR-Ornitology/raw/main/img/MZURORN2025-140_1.jpg" TargetMode="External"/><Relationship Id="rId400" Type="http://schemas.openxmlformats.org/officeDocument/2006/relationships/hyperlink" Target="https://github.com/Sapienza-BBCD/MZUR-Ornitology/raw/main/img/MZURORN2025-201_2.jpg" TargetMode="External"/><Relationship Id="rId442" Type="http://schemas.openxmlformats.org/officeDocument/2006/relationships/hyperlink" Target="https://github.com/Sapienza-BBCD/MZUR-Ornitology/raw/main/img/MZURORN2025-222_2.jpg" TargetMode="External"/><Relationship Id="rId484" Type="http://schemas.openxmlformats.org/officeDocument/2006/relationships/hyperlink" Target="https://github.com/Sapienza-BBCD/MZUR-Ornitology/raw/main/img/MZURORN2025-243_2.jpg" TargetMode="External"/><Relationship Id="rId137" Type="http://schemas.openxmlformats.org/officeDocument/2006/relationships/hyperlink" Target="https://github.com/Sapienza-BBCD/MZUR-Ornitology/raw/main/img/MZURORN2025-070_1.jpg" TargetMode="External"/><Relationship Id="rId302" Type="http://schemas.openxmlformats.org/officeDocument/2006/relationships/hyperlink" Target="https://github.com/Sapienza-BBCD/MZUR-Ornitology/raw/main/img/MZURORN2025-152_2.jpg" TargetMode="External"/><Relationship Id="rId344" Type="http://schemas.openxmlformats.org/officeDocument/2006/relationships/hyperlink" Target="https://github.com/Sapienza-BBCD/MZUR-Ornitology/raw/main/img/MZURORN2025-173_2.jpg" TargetMode="External"/><Relationship Id="rId41" Type="http://schemas.openxmlformats.org/officeDocument/2006/relationships/hyperlink" Target="https://github.com/Sapienza-BBCD/MZUR-Ornitology/raw/main/img/MZURORN2025-021_1.jpg" TargetMode="External"/><Relationship Id="rId83" Type="http://schemas.openxmlformats.org/officeDocument/2006/relationships/hyperlink" Target="https://github.com/Sapienza-BBCD/MZUR-Ornitology/raw/main/img/MZURORN2025-042_1.jpg" TargetMode="External"/><Relationship Id="rId179" Type="http://schemas.openxmlformats.org/officeDocument/2006/relationships/hyperlink" Target="https://github.com/Sapienza-BBCD/MZUR-Ornitology/raw/main/img/MZURORN2025-091_1.jpg" TargetMode="External"/><Relationship Id="rId386" Type="http://schemas.openxmlformats.org/officeDocument/2006/relationships/hyperlink" Target="https://github.com/Sapienza-BBCD/MZUR-Ornitology/raw/main/img/MZURORN2025-194_2.jpg" TargetMode="External"/><Relationship Id="rId551" Type="http://schemas.openxmlformats.org/officeDocument/2006/relationships/hyperlink" Target="https://github.com/Sapienza-BBCD/MZUR-Ornitology/raw/main/img/MZURORN2025-277_1.jpg" TargetMode="External"/><Relationship Id="rId593" Type="http://schemas.openxmlformats.org/officeDocument/2006/relationships/hyperlink" Target="https://github.com/Sapienza-BBCD/MZUR-Ornitology/raw/main/img/MZURORN2025-298_1.jpg" TargetMode="External"/><Relationship Id="rId190" Type="http://schemas.openxmlformats.org/officeDocument/2006/relationships/hyperlink" Target="https://github.com/Sapienza-BBCD/MZUR-Ornitology/raw/main/img/MZURORN2025-096_2.jpg" TargetMode="External"/><Relationship Id="rId204" Type="http://schemas.openxmlformats.org/officeDocument/2006/relationships/hyperlink" Target="https://github.com/Sapienza-BBCD/MZUR-Ornitology/raw/main/img/MZURORN2025-103_2.jpg" TargetMode="External"/><Relationship Id="rId246" Type="http://schemas.openxmlformats.org/officeDocument/2006/relationships/hyperlink" Target="https://github.com/Sapienza-BBCD/MZUR-Ornitology/raw/main/img/MZURORN2025-124_2.jpg" TargetMode="External"/><Relationship Id="rId288" Type="http://schemas.openxmlformats.org/officeDocument/2006/relationships/hyperlink" Target="https://github.com/Sapienza-BBCD/MZUR-Ornitology/raw/main/img/MZURORN2025-145_2.jpg" TargetMode="External"/><Relationship Id="rId411" Type="http://schemas.openxmlformats.org/officeDocument/2006/relationships/hyperlink" Target="https://github.com/Sapienza-BBCD/MZUR-Ornitology/raw/main/img/MZURORN2025-207_1.jpg" TargetMode="External"/><Relationship Id="rId453" Type="http://schemas.openxmlformats.org/officeDocument/2006/relationships/hyperlink" Target="https://github.com/Sapienza-BBCD/MZUR-Ornitology/raw/main/img/MZURORN2025-228_1.jpg" TargetMode="External"/><Relationship Id="rId509" Type="http://schemas.openxmlformats.org/officeDocument/2006/relationships/hyperlink" Target="https://github.com/Sapienza-BBCD/MZUR-Ornitology/raw/main/img/MZURORN2025-256_1.jpg" TargetMode="External"/><Relationship Id="rId106" Type="http://schemas.openxmlformats.org/officeDocument/2006/relationships/hyperlink" Target="https://github.com/Sapienza-BBCD/MZUR-Ornitology/raw/main/img/MZURORN2025-053_2.jpg" TargetMode="External"/><Relationship Id="rId313" Type="http://schemas.openxmlformats.org/officeDocument/2006/relationships/hyperlink" Target="https://github.com/Sapienza-BBCD/MZUR-Ornitology/raw/main/img/MZURORN2025-158_1.jpg" TargetMode="External"/><Relationship Id="rId495" Type="http://schemas.openxmlformats.org/officeDocument/2006/relationships/hyperlink" Target="https://github.com/Sapienza-BBCD/MZUR-Ornitology/raw/main/img/MZURORN2025-249_1.jpg" TargetMode="External"/><Relationship Id="rId10" Type="http://schemas.openxmlformats.org/officeDocument/2006/relationships/hyperlink" Target="https://github.com/Sapienza-BBCD/MZUR-Ornitology/raw/main/img/MZURORN2025-005_2.jpg" TargetMode="External"/><Relationship Id="rId52" Type="http://schemas.openxmlformats.org/officeDocument/2006/relationships/hyperlink" Target="https://github.com/Sapienza-BBCD/MZUR-Ornitology/raw/main/img/MZURORN2025-026_2.jpg" TargetMode="External"/><Relationship Id="rId94" Type="http://schemas.openxmlformats.org/officeDocument/2006/relationships/hyperlink" Target="https://github.com/Sapienza-BBCD/MZUR-Ornitology/raw/main/img/MZURORN2025-047_2.jpg" TargetMode="External"/><Relationship Id="rId148" Type="http://schemas.openxmlformats.org/officeDocument/2006/relationships/hyperlink" Target="https://github.com/Sapienza-BBCD/MZUR-Ornitology/raw/main/img/MZURORN2025-075_2.jpg" TargetMode="External"/><Relationship Id="rId355" Type="http://schemas.openxmlformats.org/officeDocument/2006/relationships/hyperlink" Target="https://github.com/Sapienza-BBCD/MZUR-Ornitology/raw/main/img/MZURORN2025-179_1.jpg" TargetMode="External"/><Relationship Id="rId397" Type="http://schemas.openxmlformats.org/officeDocument/2006/relationships/hyperlink" Target="https://github.com/Sapienza-BBCD/MZUR-Ornitology/raw/main/img/MZURORN2025-200_1.jpg" TargetMode="External"/><Relationship Id="rId520" Type="http://schemas.openxmlformats.org/officeDocument/2006/relationships/hyperlink" Target="https://github.com/Sapienza-BBCD/MZUR-Ornitology/raw/main/img/MZURORN2025-261_2.jpg" TargetMode="External"/><Relationship Id="rId562" Type="http://schemas.openxmlformats.org/officeDocument/2006/relationships/hyperlink" Target="https://github.com/Sapienza-BBCD/MZUR-Ornitology/raw/main/img/MZURORN2025-282_2.jpg" TargetMode="External"/><Relationship Id="rId215" Type="http://schemas.openxmlformats.org/officeDocument/2006/relationships/hyperlink" Target="https://github.com/Sapienza-BBCD/MZUR-Ornitology/raw/main/img/MZURORN2025-109_1.jpg" TargetMode="External"/><Relationship Id="rId257" Type="http://schemas.openxmlformats.org/officeDocument/2006/relationships/hyperlink" Target="https://github.com/Sapienza-BBCD/MZUR-Ornitology/raw/main/img/MZURORN2025-130_1.jpg" TargetMode="External"/><Relationship Id="rId422" Type="http://schemas.openxmlformats.org/officeDocument/2006/relationships/hyperlink" Target="https://github.com/Sapienza-BBCD/MZUR-Ornitology/raw/main/img/MZURORN2025-212_2.jpg" TargetMode="External"/><Relationship Id="rId464" Type="http://schemas.openxmlformats.org/officeDocument/2006/relationships/hyperlink" Target="https://github.com/Sapienza-BBCD/MZUR-Ornitology/raw/main/img/MZURORN2025-233_2.jpg" TargetMode="External"/><Relationship Id="rId299" Type="http://schemas.openxmlformats.org/officeDocument/2006/relationships/hyperlink" Target="https://github.com/Sapienza-BBCD/MZUR-Ornitology/raw/main/img/MZURORN2025-151_1.jpg" TargetMode="External"/><Relationship Id="rId63" Type="http://schemas.openxmlformats.org/officeDocument/2006/relationships/hyperlink" Target="https://github.com/Sapienza-BBCD/MZUR-Ornitology/raw/main/img/MZURORN2025-032_1.jpg" TargetMode="External"/><Relationship Id="rId159" Type="http://schemas.openxmlformats.org/officeDocument/2006/relationships/hyperlink" Target="https://github.com/Sapienza-BBCD/MZUR-Ornitology/raw/main/img/MZURORN2025-081_1.jpg" TargetMode="External"/><Relationship Id="rId366" Type="http://schemas.openxmlformats.org/officeDocument/2006/relationships/hyperlink" Target="https://github.com/Sapienza-BBCD/MZUR-Ornitology/raw/main/img/MZURORN2025-184_2.jpg" TargetMode="External"/><Relationship Id="rId573" Type="http://schemas.openxmlformats.org/officeDocument/2006/relationships/hyperlink" Target="https://github.com/Sapienza-BBCD/MZUR-Ornitology/raw/main/img/MZURORN2025-288_1.jpg" TargetMode="External"/><Relationship Id="rId226" Type="http://schemas.openxmlformats.org/officeDocument/2006/relationships/hyperlink" Target="https://github.com/Sapienza-BBCD/MZUR-Ornitology/raw/main/img/MZURORN2025-114_2.jpg" TargetMode="External"/><Relationship Id="rId433" Type="http://schemas.openxmlformats.org/officeDocument/2006/relationships/hyperlink" Target="https://github.com/Sapienza-BBCD/MZUR-Ornitology/raw/main/img/MZURORN2025-218_1.jpg" TargetMode="External"/><Relationship Id="rId74" Type="http://schemas.openxmlformats.org/officeDocument/2006/relationships/hyperlink" Target="https://github.com/Sapienza-BBCD/MZUR-Ornitology/raw/main/img/MZURORN2025-037_2.jpg" TargetMode="External"/><Relationship Id="rId377" Type="http://schemas.openxmlformats.org/officeDocument/2006/relationships/hyperlink" Target="https://github.com/Sapienza-BBCD/MZUR-Ornitology/raw/main/img/MZURORN2025-190_1.jpg" TargetMode="External"/><Relationship Id="rId500" Type="http://schemas.openxmlformats.org/officeDocument/2006/relationships/hyperlink" Target="https://github.com/Sapienza-BBCD/MZUR-Ornitology/raw/main/img/MZURORN2025-251_2.jpg" TargetMode="External"/><Relationship Id="rId584" Type="http://schemas.openxmlformats.org/officeDocument/2006/relationships/hyperlink" Target="https://github.com/Sapienza-BBCD/MZUR-Ornitology/raw/main/img/MZURORN2025-293_2.jpg" TargetMode="External"/><Relationship Id="rId5" Type="http://schemas.openxmlformats.org/officeDocument/2006/relationships/hyperlink" Target="https://github.com/Sapienza-BBCD/MZUR-Ornitology/raw/main/img/MZURORN2025-003_1.jpg" TargetMode="External"/><Relationship Id="rId237" Type="http://schemas.openxmlformats.org/officeDocument/2006/relationships/hyperlink" Target="https://github.com/Sapienza-BBCD/MZUR-Ornitology/raw/main/img/MZURORN2025-120_1.jpg" TargetMode="External"/><Relationship Id="rId444" Type="http://schemas.openxmlformats.org/officeDocument/2006/relationships/hyperlink" Target="https://github.com/Sapienza-BBCD/MZUR-Ornitology/raw/main/img/MZURORN2025-223_2.jpg" TargetMode="External"/><Relationship Id="rId290" Type="http://schemas.openxmlformats.org/officeDocument/2006/relationships/hyperlink" Target="https://github.com/Sapienza-BBCD/MZUR-Ornitology/raw/main/img/MZURORN2025-146_2.jpg" TargetMode="External"/><Relationship Id="rId304" Type="http://schemas.openxmlformats.org/officeDocument/2006/relationships/hyperlink" Target="https://github.com/Sapienza-BBCD/MZUR-Ornitology/raw/main/img/MZURORN2025-153_2.jpg" TargetMode="External"/><Relationship Id="rId388" Type="http://schemas.openxmlformats.org/officeDocument/2006/relationships/hyperlink" Target="https://github.com/Sapienza-BBCD/MZUR-Ornitology/raw/main/img/MZURORN2025-195_2.jpg" TargetMode="External"/><Relationship Id="rId511" Type="http://schemas.openxmlformats.org/officeDocument/2006/relationships/hyperlink" Target="https://github.com/Sapienza-BBCD/MZUR-Ornitology/raw/main/img/MZURORN2025-257_1.jpg" TargetMode="External"/><Relationship Id="rId85" Type="http://schemas.openxmlformats.org/officeDocument/2006/relationships/hyperlink" Target="https://github.com/Sapienza-BBCD/MZUR-Ornitology/raw/main/img/MZURORN2025-043_1.jpg" TargetMode="External"/><Relationship Id="rId150" Type="http://schemas.openxmlformats.org/officeDocument/2006/relationships/hyperlink" Target="https://github.com/Sapienza-BBCD/MZUR-Ornitology/raw/main/img/MZURORN2025-076_2.jpg" TargetMode="External"/><Relationship Id="rId595" Type="http://schemas.openxmlformats.org/officeDocument/2006/relationships/printerSettings" Target="../printerSettings/printerSettings1.bin"/><Relationship Id="rId248" Type="http://schemas.openxmlformats.org/officeDocument/2006/relationships/hyperlink" Target="https://github.com/Sapienza-BBCD/MZUR-Ornitology/raw/main/img/MZURORN2025-125_2.jpg" TargetMode="External"/><Relationship Id="rId455" Type="http://schemas.openxmlformats.org/officeDocument/2006/relationships/hyperlink" Target="https://github.com/Sapienza-BBCD/MZUR-Ornitology/raw/main/img/MZURORN2025-229_1.jpg" TargetMode="External"/><Relationship Id="rId12" Type="http://schemas.openxmlformats.org/officeDocument/2006/relationships/hyperlink" Target="https://github.com/Sapienza-BBCD/MZUR-Ornitology/raw/main/img/MZURORN2025-006_2.jpg" TargetMode="External"/><Relationship Id="rId108" Type="http://schemas.openxmlformats.org/officeDocument/2006/relationships/hyperlink" Target="https://github.com/Sapienza-BBCD/MZUR-Ornitology/raw/main/img/MZURORN2025-054_2.jpg" TargetMode="External"/><Relationship Id="rId315" Type="http://schemas.openxmlformats.org/officeDocument/2006/relationships/hyperlink" Target="https://github.com/Sapienza-BBCD/MZUR-Ornitology/raw/main/img/MZURORN2025-159_1.jpg" TargetMode="External"/><Relationship Id="rId522" Type="http://schemas.openxmlformats.org/officeDocument/2006/relationships/hyperlink" Target="https://github.com/Sapienza-BBCD/MZUR-Ornitology/raw/main/img/MZURORN2025-262_2.jpg" TargetMode="External"/><Relationship Id="rId96" Type="http://schemas.openxmlformats.org/officeDocument/2006/relationships/hyperlink" Target="https://github.com/Sapienza-BBCD/MZUR-Ornitology/raw/main/img/MZURORN2025-048_2.jpg" TargetMode="External"/><Relationship Id="rId161" Type="http://schemas.openxmlformats.org/officeDocument/2006/relationships/hyperlink" Target="https://github.com/Sapienza-BBCD/MZUR-Ornitology/raw/main/img/MZURORN2025-082_1.jpg" TargetMode="External"/><Relationship Id="rId399" Type="http://schemas.openxmlformats.org/officeDocument/2006/relationships/hyperlink" Target="https://github.com/Sapienza-BBCD/MZUR-Ornitology/raw/main/img/MZURORN2025-201_1.jpg" TargetMode="External"/><Relationship Id="rId259" Type="http://schemas.openxmlformats.org/officeDocument/2006/relationships/hyperlink" Target="https://github.com/Sapienza-BBCD/MZUR-Ornitology/raw/main/img/MZURORN2025-131_1.jpg" TargetMode="External"/><Relationship Id="rId466" Type="http://schemas.openxmlformats.org/officeDocument/2006/relationships/hyperlink" Target="https://github.com/Sapienza-BBCD/MZUR-Ornitology/raw/main/img/MZURORN2025-234_2.jpg" TargetMode="External"/><Relationship Id="rId23" Type="http://schemas.openxmlformats.org/officeDocument/2006/relationships/hyperlink" Target="https://github.com/Sapienza-BBCD/MZUR-Ornitology/raw/main/img/MZURORN2025-012_1.jpg" TargetMode="External"/><Relationship Id="rId119" Type="http://schemas.openxmlformats.org/officeDocument/2006/relationships/hyperlink" Target="https://github.com/Sapienza-BBCD/MZUR-Ornitology/raw/main/img/MZURORN2025-061_1.jpg" TargetMode="External"/><Relationship Id="rId326" Type="http://schemas.openxmlformats.org/officeDocument/2006/relationships/hyperlink" Target="https://github.com/Sapienza-BBCD/MZUR-Ornitology/raw/main/img/MZURORN2025-164_2.jpg" TargetMode="External"/><Relationship Id="rId533" Type="http://schemas.openxmlformats.org/officeDocument/2006/relationships/hyperlink" Target="https://github.com/Sapienza-BBCD/MZUR-Ornitology/raw/main/img/MZURORN2025-268_1.jpg" TargetMode="External"/><Relationship Id="rId172" Type="http://schemas.openxmlformats.org/officeDocument/2006/relationships/hyperlink" Target="https://github.com/Sapienza-BBCD/MZUR-Ornitology/raw/main/img/MZURORN2025-087_2.jpg" TargetMode="External"/><Relationship Id="rId477" Type="http://schemas.openxmlformats.org/officeDocument/2006/relationships/hyperlink" Target="https://github.com/Sapienza-BBCD/MZUR-Ornitology/raw/main/img/MZURORN2025-240_1.jpg" TargetMode="External"/><Relationship Id="rId337" Type="http://schemas.openxmlformats.org/officeDocument/2006/relationships/hyperlink" Target="https://github.com/Sapienza-BBCD/MZUR-Ornitology/raw/main/img/MZURORN2025-170_1.jpg" TargetMode="External"/><Relationship Id="rId34" Type="http://schemas.openxmlformats.org/officeDocument/2006/relationships/hyperlink" Target="https://github.com/Sapienza-BBCD/MZUR-Ornitology/raw/main/img/MZURORN2025-017_2.jpg" TargetMode="External"/><Relationship Id="rId544" Type="http://schemas.openxmlformats.org/officeDocument/2006/relationships/hyperlink" Target="https://github.com/Sapienza-BBCD/MZUR-Ornitology/raw/main/img/MZURORN2025-273_2.jpg" TargetMode="External"/><Relationship Id="rId183" Type="http://schemas.openxmlformats.org/officeDocument/2006/relationships/hyperlink" Target="https://github.com/Sapienza-BBCD/MZUR-Ornitology/raw/main/img/MZURORN2025-093_1.jpg" TargetMode="External"/><Relationship Id="rId390" Type="http://schemas.openxmlformats.org/officeDocument/2006/relationships/hyperlink" Target="https://github.com/Sapienza-BBCD/MZUR-Ornitology/raw/main/img/MZURORN2025-196_2.jpg" TargetMode="External"/><Relationship Id="rId404" Type="http://schemas.openxmlformats.org/officeDocument/2006/relationships/hyperlink" Target="https://github.com/Sapienza-BBCD/MZUR-Ornitology/raw/main/img/MZURORN2025-203_2.jpg" TargetMode="External"/><Relationship Id="rId250" Type="http://schemas.openxmlformats.org/officeDocument/2006/relationships/hyperlink" Target="https://github.com/Sapienza-BBCD/MZUR-Ornitology/raw/main/img/MZURORN2025-126_2.jpg" TargetMode="External"/><Relationship Id="rId488" Type="http://schemas.openxmlformats.org/officeDocument/2006/relationships/hyperlink" Target="https://github.com/Sapienza-BBCD/MZUR-Ornitology/raw/main/img/MZURORN2025-245_2.jpg" TargetMode="External"/><Relationship Id="rId45" Type="http://schemas.openxmlformats.org/officeDocument/2006/relationships/hyperlink" Target="https://github.com/Sapienza-BBCD/MZUR-Ornitology/raw/main/img/MZURORN2025-023_1.jpg" TargetMode="External"/><Relationship Id="rId110" Type="http://schemas.openxmlformats.org/officeDocument/2006/relationships/hyperlink" Target="https://github.com/Sapienza-BBCD/MZUR-Ornitology/raw/main/img/MZURORN2025-055_2.jpg" TargetMode="External"/><Relationship Id="rId348" Type="http://schemas.openxmlformats.org/officeDocument/2006/relationships/hyperlink" Target="https://github.com/Sapienza-BBCD/MZUR-Ornitology/raw/main/img/MZURORN2025-175_2.jpg" TargetMode="External"/><Relationship Id="rId555" Type="http://schemas.openxmlformats.org/officeDocument/2006/relationships/hyperlink" Target="https://github.com/Sapienza-BBCD/MZUR-Ornitology/raw/main/img/MZURORN2025-279_1.jpg" TargetMode="External"/><Relationship Id="rId194" Type="http://schemas.openxmlformats.org/officeDocument/2006/relationships/hyperlink" Target="https://github.com/Sapienza-BBCD/MZUR-Ornitology/raw/main/img/MZURORN2025-098_2.jpg" TargetMode="External"/><Relationship Id="rId208" Type="http://schemas.openxmlformats.org/officeDocument/2006/relationships/hyperlink" Target="https://github.com/Sapienza-BBCD/MZUR-Ornitology/raw/main/img/MZURORN2025-105_2.jpg" TargetMode="External"/><Relationship Id="rId415" Type="http://schemas.openxmlformats.org/officeDocument/2006/relationships/hyperlink" Target="https://github.com/Sapienza-BBCD/MZUR-Ornitology/raw/main/img/MZURORN2025-209_1.jpg"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FA8B-AD6D-426F-A7DE-9212F828E238}">
  <sheetPr codeName="Foglio1"/>
  <dimension ref="A1:BE298"/>
  <sheetViews>
    <sheetView tabSelected="1" zoomScaleNormal="100" workbookViewId="0">
      <selection activeCell="A4" sqref="A4"/>
    </sheetView>
  </sheetViews>
  <sheetFormatPr defaultColWidth="9.140625" defaultRowHeight="15" x14ac:dyDescent="0.25"/>
  <cols>
    <col min="1" max="1" width="18.28515625" style="13" customWidth="1"/>
    <col min="2" max="2" width="16.85546875" style="13" customWidth="1"/>
    <col min="3" max="3" width="12.7109375" style="13" customWidth="1"/>
    <col min="4" max="4" width="17.42578125" style="13" customWidth="1"/>
    <col min="5" max="5" width="16.5703125" style="13" customWidth="1"/>
    <col min="6" max="6" width="7.140625" style="13" customWidth="1"/>
    <col min="7" max="7" width="9.140625" style="13" customWidth="1"/>
    <col min="8" max="8" width="6.42578125" style="13" customWidth="1"/>
    <col min="9" max="9" width="21" style="13" customWidth="1"/>
    <col min="10" max="10" width="27.42578125" style="13" customWidth="1"/>
    <col min="11" max="11" width="36.5703125" style="13" customWidth="1"/>
    <col min="12" max="12" width="59.7109375" style="13" customWidth="1"/>
    <col min="13" max="13" width="11.140625" style="13" customWidth="1"/>
    <col min="14" max="14" width="10" style="13" customWidth="1"/>
    <col min="15" max="15" width="8" style="13" customWidth="1"/>
    <col min="16" max="16" width="14.85546875" style="13" customWidth="1"/>
    <col min="17" max="17" width="15.42578125" style="13" customWidth="1"/>
    <col min="18" max="18" width="14.42578125" style="13" customWidth="1"/>
    <col min="19" max="19" width="17.140625" style="13" customWidth="1"/>
    <col min="20" max="20" width="13" style="13" customWidth="1"/>
    <col min="21" max="21" width="18.5703125" style="13" customWidth="1"/>
    <col min="22" max="22" width="14.28515625" style="13" customWidth="1"/>
    <col min="23" max="23" width="21.5703125" style="13" customWidth="1"/>
    <col min="24" max="24" width="18.28515625" style="13" customWidth="1"/>
    <col min="25" max="25" width="19.7109375" style="13" customWidth="1"/>
    <col min="26" max="26" width="17.42578125" style="13" customWidth="1"/>
    <col min="27" max="27" width="32.140625" style="13" customWidth="1"/>
    <col min="28" max="28" width="22.7109375" style="13" customWidth="1"/>
    <col min="29" max="29" width="28.7109375" style="13" customWidth="1"/>
    <col min="30" max="30" width="21" style="13" customWidth="1"/>
    <col min="31" max="31" width="26.28515625" style="13" customWidth="1"/>
    <col min="32" max="32" width="23" style="13" customWidth="1"/>
    <col min="33" max="33" width="32.28515625" style="13" customWidth="1"/>
    <col min="34" max="34" width="38" style="13" customWidth="1"/>
    <col min="35" max="35" width="12" style="13" customWidth="1"/>
    <col min="36" max="36" width="8.7109375" style="13" customWidth="1"/>
    <col min="37" max="37" width="13" style="13" customWidth="1"/>
    <col min="38" max="38" width="15" style="13" customWidth="1"/>
    <col min="39" max="39" width="16" style="13" customWidth="1"/>
    <col min="40" max="40" width="19.28515625" style="13" customWidth="1"/>
    <col min="41" max="41" width="16.28515625" style="13" customWidth="1"/>
    <col min="42" max="42" width="11.42578125" style="13" customWidth="1"/>
    <col min="43" max="43" width="14.5703125" style="13" customWidth="1"/>
    <col min="44" max="44" width="17.28515625" style="13" customWidth="1"/>
    <col min="45" max="45" width="17.42578125" style="13" customWidth="1"/>
    <col min="46" max="46" width="8" style="13" customWidth="1"/>
    <col min="47" max="47" width="18.7109375" style="13" customWidth="1"/>
    <col min="48" max="48" width="17.7109375" style="13" customWidth="1"/>
    <col min="49" max="49" width="3.5703125" style="13" customWidth="1"/>
    <col min="50" max="50" width="24" style="13" customWidth="1"/>
    <col min="51" max="51" width="19.42578125" style="13" customWidth="1"/>
    <col min="52" max="52" width="15.85546875" style="13" customWidth="1"/>
    <col min="53" max="53" width="8.5703125" style="13" customWidth="1"/>
    <col min="54" max="54" width="26.42578125" style="13" bestFit="1" customWidth="1"/>
    <col min="55" max="55" width="13.5703125" style="13" customWidth="1"/>
    <col min="56" max="56" width="13.42578125" style="13" customWidth="1"/>
    <col min="57" max="57" width="24.28515625" style="13" bestFit="1" customWidth="1"/>
    <col min="58" max="16384" width="9.140625" style="13"/>
  </cols>
  <sheetData>
    <row r="1" spans="1:57" ht="15.75" x14ac:dyDescent="0.25">
      <c r="A1" s="9" t="s">
        <v>0</v>
      </c>
      <c r="B1" s="9" t="s">
        <v>1</v>
      </c>
      <c r="C1" s="9" t="s">
        <v>2</v>
      </c>
      <c r="D1" s="9" t="s">
        <v>3</v>
      </c>
      <c r="E1" s="9" t="s">
        <v>4</v>
      </c>
      <c r="F1" s="9" t="s">
        <v>5</v>
      </c>
      <c r="G1" s="9" t="s">
        <v>6</v>
      </c>
      <c r="H1" s="9" t="s">
        <v>7</v>
      </c>
      <c r="I1" s="9" t="s">
        <v>8</v>
      </c>
      <c r="J1" s="9" t="s">
        <v>9</v>
      </c>
      <c r="K1" s="20" t="s">
        <v>10</v>
      </c>
      <c r="L1" s="20" t="s">
        <v>11</v>
      </c>
      <c r="M1" s="20" t="s">
        <v>12</v>
      </c>
      <c r="N1" s="20" t="s">
        <v>13</v>
      </c>
      <c r="O1" s="20" t="s">
        <v>14</v>
      </c>
      <c r="P1" s="20" t="s">
        <v>15</v>
      </c>
      <c r="Q1" s="20" t="s">
        <v>16</v>
      </c>
      <c r="R1" s="20" t="s">
        <v>17</v>
      </c>
      <c r="S1" s="20" t="s">
        <v>18</v>
      </c>
      <c r="T1" s="10" t="s">
        <v>19</v>
      </c>
      <c r="U1" s="10" t="s">
        <v>20</v>
      </c>
      <c r="V1" s="10" t="s">
        <v>21</v>
      </c>
      <c r="W1" s="10" t="s">
        <v>22</v>
      </c>
      <c r="X1" s="20" t="s">
        <v>23</v>
      </c>
      <c r="Y1" s="20" t="s">
        <v>24</v>
      </c>
      <c r="Z1" s="20" t="s">
        <v>25</v>
      </c>
      <c r="AA1" s="20" t="s">
        <v>26</v>
      </c>
      <c r="AB1" s="20" t="s">
        <v>27</v>
      </c>
      <c r="AC1" s="20" t="s">
        <v>28</v>
      </c>
      <c r="AD1" s="20" t="s">
        <v>29</v>
      </c>
      <c r="AE1" s="20" t="s">
        <v>30</v>
      </c>
      <c r="AF1" s="20" t="s">
        <v>31</v>
      </c>
      <c r="AG1" s="20" t="s">
        <v>32</v>
      </c>
      <c r="AH1" s="20" t="s">
        <v>33</v>
      </c>
      <c r="AI1" s="20" t="s">
        <v>34</v>
      </c>
      <c r="AJ1" s="20" t="s">
        <v>35</v>
      </c>
      <c r="AK1" s="20" t="s">
        <v>36</v>
      </c>
      <c r="AL1" s="20" t="s">
        <v>37</v>
      </c>
      <c r="AM1" s="20" t="s">
        <v>38</v>
      </c>
      <c r="AN1" s="20" t="s">
        <v>39</v>
      </c>
      <c r="AO1" s="20" t="s">
        <v>40</v>
      </c>
      <c r="AP1" s="20" t="s">
        <v>41</v>
      </c>
      <c r="AQ1" s="20" t="s">
        <v>42</v>
      </c>
      <c r="AR1" s="20" t="s">
        <v>43</v>
      </c>
      <c r="AS1" s="20" t="s">
        <v>44</v>
      </c>
      <c r="AT1" s="20" t="s">
        <v>45</v>
      </c>
      <c r="AU1" s="20" t="s">
        <v>46</v>
      </c>
      <c r="AV1" s="20" t="s">
        <v>47</v>
      </c>
      <c r="AW1" s="20" t="s">
        <v>48</v>
      </c>
      <c r="AX1" s="20" t="s">
        <v>49</v>
      </c>
      <c r="AY1" s="21" t="s">
        <v>50</v>
      </c>
      <c r="AZ1" s="21" t="s">
        <v>51</v>
      </c>
      <c r="BA1" s="21" t="s">
        <v>52</v>
      </c>
      <c r="BB1" s="21" t="s">
        <v>53</v>
      </c>
      <c r="BC1" s="21" t="s">
        <v>54</v>
      </c>
      <c r="BD1" s="21" t="s">
        <v>55</v>
      </c>
      <c r="BE1" s="22" t="s">
        <v>1488</v>
      </c>
    </row>
    <row r="2" spans="1:57" x14ac:dyDescent="0.25">
      <c r="A2" s="12" t="s">
        <v>56</v>
      </c>
      <c r="B2" s="12" t="s">
        <v>57</v>
      </c>
      <c r="C2" s="12">
        <v>1899</v>
      </c>
      <c r="D2" s="12"/>
      <c r="E2" s="23"/>
      <c r="F2" s="12">
        <f t="shared" ref="F2:F64" si="0">IFERROR(IF(C2="","",IF(C2&lt;10000,C2,YEAR(C2))),"")</f>
        <v>1899</v>
      </c>
      <c r="G2" s="12"/>
      <c r="H2" s="12"/>
      <c r="I2" s="24">
        <f>IF(C2="","",IF(C2&lt;10000,C2,C2))</f>
        <v>1899</v>
      </c>
      <c r="J2" s="12" t="s">
        <v>58</v>
      </c>
      <c r="K2" s="12" t="str">
        <f t="shared" ref="K2:K64" si="1">R2&amp;" "&amp;S2&amp;" "&amp;"("&amp;J2&amp;")"</f>
        <v>Garrulus glandarius (Linnaeus, 1758)</v>
      </c>
      <c r="L2" s="12" t="str">
        <f t="shared" ref="L2:L64" si="2">M2&amp;"|"&amp;N2&amp;"|"&amp;O2&amp;"|"&amp;P2&amp;"|"&amp;Q2&amp;"|"&amp;R2</f>
        <v>Animalia|Chordata|Aves|Passeriformes|Corvidae|Garrulus</v>
      </c>
      <c r="M2" s="12" t="s">
        <v>59</v>
      </c>
      <c r="N2" s="12" t="s">
        <v>60</v>
      </c>
      <c r="O2" s="12" t="s">
        <v>61</v>
      </c>
      <c r="P2" s="12" t="s">
        <v>62</v>
      </c>
      <c r="Q2" s="12" t="s">
        <v>63</v>
      </c>
      <c r="R2" s="12" t="s">
        <v>64</v>
      </c>
      <c r="S2" s="12" t="s">
        <v>65</v>
      </c>
      <c r="T2" s="12" t="s">
        <v>66</v>
      </c>
      <c r="U2" s="12" t="s">
        <v>67</v>
      </c>
      <c r="V2" s="12"/>
      <c r="W2" s="12" t="s">
        <v>68</v>
      </c>
      <c r="X2" s="12">
        <v>41.722408999999999</v>
      </c>
      <c r="Y2" s="12">
        <v>12.396117</v>
      </c>
      <c r="Z2" s="14" t="s">
        <v>69</v>
      </c>
      <c r="AA2" s="12">
        <v>6372</v>
      </c>
      <c r="AB2" s="12" t="str">
        <f t="shared" ref="AB2:AB65" si="3">X2&amp;"/"&amp;Y2</f>
        <v>41.722409/12.396117</v>
      </c>
      <c r="AC2" s="13" t="s">
        <v>1473</v>
      </c>
      <c r="AD2" s="25">
        <v>46054</v>
      </c>
      <c r="AE2" s="14" t="s">
        <v>70</v>
      </c>
      <c r="AF2" s="14" t="s">
        <v>71</v>
      </c>
      <c r="AG2" s="14" t="s">
        <v>72</v>
      </c>
      <c r="AH2" s="12" t="str">
        <f t="shared" ref="AH2:AH64" si="4">_xlfn.TEXTJOIN(" | ",TRUE,AI2,AJ2,AK2,AM2,AN2)</f>
        <v>Europa | Italy | Lazio | Castelporziano</v>
      </c>
      <c r="AI2" s="12" t="s">
        <v>73</v>
      </c>
      <c r="AJ2" s="12"/>
      <c r="AK2" s="12" t="s">
        <v>74</v>
      </c>
      <c r="AL2" s="12" t="str">
        <f t="shared" ref="AL2:AL65" si="5">IF(TRIM(AK2)="Italy","ITA",IF(TRIM(AK2)="Venezuela","VEN",IF(TRIM(AK2)="Brazil","BRA",IF(TRIM(AK2)="Ethiopia","ETH",IF(TRIM(AK2)="Equador","ECU",IF(TRIM(AK2)="France","FRA",IF(TRIM(AK2)="Australia","AUS",IF(TRIM(AK2)="Guatemala","GTM",IF(TRIM(AK2)="Antartica","AQ")))))))))</f>
        <v>ITA</v>
      </c>
      <c r="AM2" s="12" t="s">
        <v>75</v>
      </c>
      <c r="AN2" s="12" t="s">
        <v>76</v>
      </c>
      <c r="AO2" s="12" t="s">
        <v>57</v>
      </c>
      <c r="AP2" s="12" t="s">
        <v>77</v>
      </c>
      <c r="AQ2" s="12" t="s">
        <v>78</v>
      </c>
      <c r="AR2" s="12" t="s">
        <v>79</v>
      </c>
      <c r="AS2" s="12" t="s">
        <v>1172</v>
      </c>
      <c r="AT2" s="12" t="s">
        <v>80</v>
      </c>
      <c r="AU2" s="12" t="s">
        <v>56</v>
      </c>
      <c r="AV2" s="12">
        <v>1</v>
      </c>
      <c r="AW2" s="12">
        <v>1</v>
      </c>
      <c r="AX2" s="12" t="s">
        <v>81</v>
      </c>
      <c r="AY2" s="12" t="s">
        <v>82</v>
      </c>
      <c r="AZ2" s="12" t="s">
        <v>83</v>
      </c>
      <c r="BA2" s="12" t="s">
        <v>84</v>
      </c>
      <c r="BB2" s="12">
        <v>4579</v>
      </c>
      <c r="BC2" s="27" t="s">
        <v>1489</v>
      </c>
      <c r="BD2" s="27" t="s">
        <v>1490</v>
      </c>
      <c r="BE2" s="12"/>
    </row>
    <row r="3" spans="1:57" x14ac:dyDescent="0.25">
      <c r="A3" s="12" t="s">
        <v>85</v>
      </c>
      <c r="B3" s="12" t="s">
        <v>57</v>
      </c>
      <c r="C3" s="25">
        <v>22182</v>
      </c>
      <c r="D3" s="12">
        <f t="shared" ref="D3:D64" si="6">IFERROR(C3-DATE(YEAR(C3),1,1)+1,"")</f>
        <v>267</v>
      </c>
      <c r="E3" s="23">
        <f t="shared" ref="E3:E64" si="7">IFERROR(C3-DATE(YEAR(C3),1,1)+1,"")</f>
        <v>267</v>
      </c>
      <c r="F3" s="12">
        <f t="shared" si="0"/>
        <v>1960</v>
      </c>
      <c r="G3" s="12">
        <f t="shared" ref="G3:G64" si="8">IFERROR(MONTH(C3),"")</f>
        <v>9</v>
      </c>
      <c r="H3" s="12">
        <f t="shared" ref="H3:H64" si="9">IFERROR(DAY(C3),"")</f>
        <v>23</v>
      </c>
      <c r="I3" s="24">
        <f t="shared" ref="I3:I65" si="10">IF(C3="","",IF(C3&lt;10000,C3,C3))</f>
        <v>22182</v>
      </c>
      <c r="J3" s="12" t="s">
        <v>86</v>
      </c>
      <c r="K3" s="12" t="str">
        <f t="shared" si="1"/>
        <v>Pyrrhocorax graculus (Linnaeus, 1766)</v>
      </c>
      <c r="L3" s="12" t="str">
        <f t="shared" si="2"/>
        <v>Animalia|Chordata|Aves|Passeriformes|Corvidae|Pyrrhocorax</v>
      </c>
      <c r="M3" s="12" t="s">
        <v>59</v>
      </c>
      <c r="N3" s="12" t="s">
        <v>60</v>
      </c>
      <c r="O3" s="12" t="s">
        <v>61</v>
      </c>
      <c r="P3" s="12" t="s">
        <v>62</v>
      </c>
      <c r="Q3" s="12" t="s">
        <v>63</v>
      </c>
      <c r="R3" s="12" t="s">
        <v>87</v>
      </c>
      <c r="S3" s="12" t="s">
        <v>88</v>
      </c>
      <c r="T3" s="12" t="s">
        <v>66</v>
      </c>
      <c r="U3" s="12" t="s">
        <v>89</v>
      </c>
      <c r="V3" s="12" t="s">
        <v>1165</v>
      </c>
      <c r="W3" s="12" t="s">
        <v>68</v>
      </c>
      <c r="X3" s="12">
        <v>44.200369000000002</v>
      </c>
      <c r="Y3" s="12">
        <v>7.5717309999999998</v>
      </c>
      <c r="Z3" s="14" t="s">
        <v>69</v>
      </c>
      <c r="AA3" s="12">
        <v>1470</v>
      </c>
      <c r="AB3" s="12" t="str">
        <f t="shared" si="3"/>
        <v>44.200369/7.571731</v>
      </c>
      <c r="AC3" s="13" t="s">
        <v>1473</v>
      </c>
      <c r="AD3" s="25">
        <v>46054</v>
      </c>
      <c r="AE3" s="14" t="s">
        <v>70</v>
      </c>
      <c r="AF3" s="14" t="s">
        <v>71</v>
      </c>
      <c r="AG3" s="14" t="s">
        <v>72</v>
      </c>
      <c r="AH3" s="12" t="str">
        <f t="shared" si="4"/>
        <v>Europa | Italy | Piedmont | Limone Piemonte</v>
      </c>
      <c r="AI3" s="12" t="s">
        <v>73</v>
      </c>
      <c r="AJ3" s="12"/>
      <c r="AK3" s="12" t="s">
        <v>74</v>
      </c>
      <c r="AL3" s="12" t="str">
        <f t="shared" si="5"/>
        <v>ITA</v>
      </c>
      <c r="AM3" s="12" t="s">
        <v>90</v>
      </c>
      <c r="AN3" s="12" t="s">
        <v>91</v>
      </c>
      <c r="AO3" s="12" t="s">
        <v>57</v>
      </c>
      <c r="AP3" s="12" t="s">
        <v>77</v>
      </c>
      <c r="AQ3" s="12" t="s">
        <v>78</v>
      </c>
      <c r="AR3" s="12" t="s">
        <v>79</v>
      </c>
      <c r="AS3" s="12" t="s">
        <v>1173</v>
      </c>
      <c r="AT3" s="12" t="s">
        <v>92</v>
      </c>
      <c r="AU3" s="12" t="s">
        <v>85</v>
      </c>
      <c r="AV3" s="12">
        <v>1</v>
      </c>
      <c r="AW3" s="12">
        <v>1</v>
      </c>
      <c r="AX3" s="12" t="s">
        <v>81</v>
      </c>
      <c r="AY3" s="12" t="s">
        <v>82</v>
      </c>
      <c r="AZ3" s="12" t="s">
        <v>83</v>
      </c>
      <c r="BA3" s="12" t="s">
        <v>93</v>
      </c>
      <c r="BB3" s="12"/>
      <c r="BC3" s="27" t="s">
        <v>1491</v>
      </c>
      <c r="BD3" s="27" t="s">
        <v>1492</v>
      </c>
      <c r="BE3" s="12"/>
    </row>
    <row r="4" spans="1:57" x14ac:dyDescent="0.25">
      <c r="A4" s="12" t="s">
        <v>94</v>
      </c>
      <c r="B4" s="12" t="s">
        <v>57</v>
      </c>
      <c r="C4" s="25">
        <v>21813</v>
      </c>
      <c r="D4" s="12">
        <f t="shared" si="6"/>
        <v>263</v>
      </c>
      <c r="E4" s="23">
        <f t="shared" si="7"/>
        <v>263</v>
      </c>
      <c r="F4" s="12">
        <f t="shared" si="0"/>
        <v>1959</v>
      </c>
      <c r="G4" s="12">
        <f t="shared" si="8"/>
        <v>9</v>
      </c>
      <c r="H4" s="12">
        <f t="shared" si="9"/>
        <v>20</v>
      </c>
      <c r="I4" s="24">
        <f t="shared" si="10"/>
        <v>21813</v>
      </c>
      <c r="J4" s="12" t="s">
        <v>58</v>
      </c>
      <c r="K4" s="12" t="str">
        <f t="shared" si="1"/>
        <v>Pica pica (Linnaeus, 1758)</v>
      </c>
      <c r="L4" s="12" t="str">
        <f t="shared" si="2"/>
        <v>Animalia|Chordata|Aves|Passeriformes|Corvidae|Pica</v>
      </c>
      <c r="M4" s="12" t="s">
        <v>59</v>
      </c>
      <c r="N4" s="12" t="s">
        <v>60</v>
      </c>
      <c r="O4" s="12" t="s">
        <v>61</v>
      </c>
      <c r="P4" s="12" t="s">
        <v>62</v>
      </c>
      <c r="Q4" s="12" t="s">
        <v>63</v>
      </c>
      <c r="R4" s="12" t="s">
        <v>95</v>
      </c>
      <c r="S4" s="12" t="s">
        <v>96</v>
      </c>
      <c r="T4" s="12" t="s">
        <v>66</v>
      </c>
      <c r="U4" s="12" t="s">
        <v>97</v>
      </c>
      <c r="V4" s="12" t="s">
        <v>1165</v>
      </c>
      <c r="W4" s="12" t="s">
        <v>68</v>
      </c>
      <c r="X4" s="12">
        <v>44.200369000000002</v>
      </c>
      <c r="Y4" s="12">
        <v>7.5717309999999998</v>
      </c>
      <c r="Z4" s="14" t="s">
        <v>69</v>
      </c>
      <c r="AA4" s="12">
        <v>1470</v>
      </c>
      <c r="AB4" s="12" t="str">
        <f t="shared" si="3"/>
        <v>44.200369/7.571731</v>
      </c>
      <c r="AC4" s="13" t="s">
        <v>1473</v>
      </c>
      <c r="AD4" s="25">
        <v>46054</v>
      </c>
      <c r="AE4" s="14" t="s">
        <v>70</v>
      </c>
      <c r="AF4" s="14" t="s">
        <v>71</v>
      </c>
      <c r="AG4" s="14" t="s">
        <v>72</v>
      </c>
      <c r="AH4" s="12" t="str">
        <f t="shared" si="4"/>
        <v>Europa | Italy | Piedmont | Limone Piemonte</v>
      </c>
      <c r="AI4" s="12" t="s">
        <v>73</v>
      </c>
      <c r="AJ4" s="12"/>
      <c r="AK4" s="12" t="s">
        <v>74</v>
      </c>
      <c r="AL4" s="12" t="str">
        <f t="shared" si="5"/>
        <v>ITA</v>
      </c>
      <c r="AM4" s="12" t="s">
        <v>90</v>
      </c>
      <c r="AN4" s="12" t="s">
        <v>91</v>
      </c>
      <c r="AO4" s="12" t="s">
        <v>57</v>
      </c>
      <c r="AP4" s="12" t="s">
        <v>77</v>
      </c>
      <c r="AQ4" s="12" t="s">
        <v>78</v>
      </c>
      <c r="AR4" s="12" t="s">
        <v>79</v>
      </c>
      <c r="AS4" s="12" t="s">
        <v>1174</v>
      </c>
      <c r="AT4" s="12"/>
      <c r="AU4" s="12" t="s">
        <v>94</v>
      </c>
      <c r="AV4" s="12">
        <v>1</v>
      </c>
      <c r="AW4" s="12">
        <v>1</v>
      </c>
      <c r="AX4" s="12" t="s">
        <v>81</v>
      </c>
      <c r="AY4" s="12" t="s">
        <v>82</v>
      </c>
      <c r="AZ4" s="12" t="s">
        <v>83</v>
      </c>
      <c r="BA4" s="12" t="s">
        <v>84</v>
      </c>
      <c r="BB4" s="12"/>
      <c r="BC4" s="27" t="s">
        <v>1493</v>
      </c>
      <c r="BD4" s="27" t="s">
        <v>1494</v>
      </c>
      <c r="BE4" s="12"/>
    </row>
    <row r="5" spans="1:57" x14ac:dyDescent="0.25">
      <c r="A5" s="12" t="s">
        <v>98</v>
      </c>
      <c r="B5" s="12" t="s">
        <v>57</v>
      </c>
      <c r="C5" s="12">
        <v>1919</v>
      </c>
      <c r="D5" s="12"/>
      <c r="E5" s="23"/>
      <c r="F5" s="12">
        <f t="shared" si="0"/>
        <v>1919</v>
      </c>
      <c r="G5" s="12"/>
      <c r="H5" s="12"/>
      <c r="I5" s="24">
        <f t="shared" si="10"/>
        <v>1919</v>
      </c>
      <c r="J5" s="12" t="s">
        <v>58</v>
      </c>
      <c r="K5" s="12" t="str">
        <f t="shared" si="1"/>
        <v>Nucifraga caryocatactes (Linnaeus, 1758)</v>
      </c>
      <c r="L5" s="12" t="str">
        <f t="shared" si="2"/>
        <v>Animalia|Chordata|Aves|Passeriformes|Corvidae|Nucifraga</v>
      </c>
      <c r="M5" s="12" t="s">
        <v>59</v>
      </c>
      <c r="N5" s="12" t="s">
        <v>60</v>
      </c>
      <c r="O5" s="12" t="s">
        <v>61</v>
      </c>
      <c r="P5" s="12" t="s">
        <v>62</v>
      </c>
      <c r="Q5" s="12" t="s">
        <v>63</v>
      </c>
      <c r="R5" s="12" t="s">
        <v>99</v>
      </c>
      <c r="S5" s="12" t="s">
        <v>100</v>
      </c>
      <c r="T5" s="12" t="s">
        <v>66</v>
      </c>
      <c r="U5" s="12" t="s">
        <v>101</v>
      </c>
      <c r="V5" s="12"/>
      <c r="W5" s="12" t="s">
        <v>68</v>
      </c>
      <c r="X5" s="12">
        <v>41.85</v>
      </c>
      <c r="Y5" s="12">
        <v>13.116667</v>
      </c>
      <c r="Z5" s="14" t="s">
        <v>69</v>
      </c>
      <c r="AA5" s="12">
        <v>4017</v>
      </c>
      <c r="AB5" s="12" t="str">
        <f t="shared" si="3"/>
        <v>41.85/13.116667</v>
      </c>
      <c r="AC5" s="13" t="s">
        <v>1473</v>
      </c>
      <c r="AD5" s="25">
        <v>46054</v>
      </c>
      <c r="AE5" s="14" t="s">
        <v>70</v>
      </c>
      <c r="AF5" s="14" t="s">
        <v>71</v>
      </c>
      <c r="AG5" s="14" t="s">
        <v>72</v>
      </c>
      <c r="AH5" s="12" t="str">
        <f t="shared" si="4"/>
        <v>Europa | Italy | Lazio | Monte Scalambra</v>
      </c>
      <c r="AI5" s="12" t="s">
        <v>73</v>
      </c>
      <c r="AJ5" s="12"/>
      <c r="AK5" s="12" t="s">
        <v>74</v>
      </c>
      <c r="AL5" s="12" t="str">
        <f t="shared" si="5"/>
        <v>ITA</v>
      </c>
      <c r="AM5" s="12" t="s">
        <v>75</v>
      </c>
      <c r="AN5" s="12" t="s">
        <v>102</v>
      </c>
      <c r="AO5" s="12" t="s">
        <v>57</v>
      </c>
      <c r="AP5" s="12" t="s">
        <v>77</v>
      </c>
      <c r="AQ5" s="12" t="s">
        <v>78</v>
      </c>
      <c r="AR5" s="12" t="s">
        <v>79</v>
      </c>
      <c r="AS5" s="12" t="s">
        <v>1175</v>
      </c>
      <c r="AT5" s="12"/>
      <c r="AU5" s="12" t="s">
        <v>98</v>
      </c>
      <c r="AV5" s="12">
        <v>1</v>
      </c>
      <c r="AW5" s="12">
        <v>1</v>
      </c>
      <c r="AX5" s="12" t="s">
        <v>81</v>
      </c>
      <c r="AY5" s="12" t="s">
        <v>82</v>
      </c>
      <c r="AZ5" s="12" t="s">
        <v>83</v>
      </c>
      <c r="BA5" s="12" t="s">
        <v>84</v>
      </c>
      <c r="BB5" s="12">
        <v>4713</v>
      </c>
      <c r="BC5" s="27" t="s">
        <v>1495</v>
      </c>
      <c r="BD5" s="27" t="s">
        <v>1496</v>
      </c>
      <c r="BE5" s="12"/>
    </row>
    <row r="6" spans="1:57" x14ac:dyDescent="0.25">
      <c r="A6" s="12" t="s">
        <v>103</v>
      </c>
      <c r="B6" s="12" t="s">
        <v>57</v>
      </c>
      <c r="C6" s="12">
        <v>1889</v>
      </c>
      <c r="D6" s="12"/>
      <c r="E6" s="23"/>
      <c r="F6" s="12">
        <f t="shared" si="0"/>
        <v>1889</v>
      </c>
      <c r="G6" s="12"/>
      <c r="H6" s="12"/>
      <c r="I6" s="24">
        <f t="shared" si="10"/>
        <v>1889</v>
      </c>
      <c r="J6" s="12" t="s">
        <v>58</v>
      </c>
      <c r="K6" s="12" t="str">
        <f t="shared" si="1"/>
        <v>Garrulus glandarius (Linnaeus, 1758)</v>
      </c>
      <c r="L6" s="12" t="str">
        <f t="shared" si="2"/>
        <v>Animalia|Chordata|Aves|Passeriformes|Corvidae|Garrulus</v>
      </c>
      <c r="M6" s="12" t="s">
        <v>59</v>
      </c>
      <c r="N6" s="12" t="s">
        <v>60</v>
      </c>
      <c r="O6" s="12" t="s">
        <v>61</v>
      </c>
      <c r="P6" s="12" t="s">
        <v>62</v>
      </c>
      <c r="Q6" s="12" t="s">
        <v>63</v>
      </c>
      <c r="R6" s="12" t="s">
        <v>64</v>
      </c>
      <c r="S6" s="12" t="s">
        <v>65</v>
      </c>
      <c r="T6" s="12" t="s">
        <v>66</v>
      </c>
      <c r="U6" s="12" t="s">
        <v>67</v>
      </c>
      <c r="V6" s="12"/>
      <c r="W6" s="12" t="s">
        <v>68</v>
      </c>
      <c r="X6" s="12">
        <v>41.722408999999999</v>
      </c>
      <c r="Y6" s="12">
        <v>12.396117</v>
      </c>
      <c r="Z6" s="14" t="s">
        <v>69</v>
      </c>
      <c r="AA6" s="12">
        <v>6372</v>
      </c>
      <c r="AB6" s="12" t="str">
        <f t="shared" si="3"/>
        <v>41.722409/12.396117</v>
      </c>
      <c r="AC6" s="13" t="s">
        <v>1473</v>
      </c>
      <c r="AD6" s="25">
        <v>46054</v>
      </c>
      <c r="AE6" s="14" t="s">
        <v>70</v>
      </c>
      <c r="AF6" s="14" t="s">
        <v>71</v>
      </c>
      <c r="AG6" s="14" t="s">
        <v>72</v>
      </c>
      <c r="AH6" s="12" t="str">
        <f t="shared" si="4"/>
        <v>Europa | Italy | Lazio | Castelporziano</v>
      </c>
      <c r="AI6" s="12" t="s">
        <v>73</v>
      </c>
      <c r="AJ6" s="12"/>
      <c r="AK6" s="12" t="s">
        <v>74</v>
      </c>
      <c r="AL6" s="12" t="str">
        <f t="shared" si="5"/>
        <v>ITA</v>
      </c>
      <c r="AM6" s="12" t="s">
        <v>75</v>
      </c>
      <c r="AN6" s="12" t="s">
        <v>76</v>
      </c>
      <c r="AO6" s="12" t="s">
        <v>57</v>
      </c>
      <c r="AP6" s="12" t="s">
        <v>77</v>
      </c>
      <c r="AQ6" s="12" t="s">
        <v>78</v>
      </c>
      <c r="AR6" s="12" t="s">
        <v>79</v>
      </c>
      <c r="AS6" s="12" t="s">
        <v>1176</v>
      </c>
      <c r="AT6" s="12"/>
      <c r="AU6" s="12" t="s">
        <v>103</v>
      </c>
      <c r="AV6" s="12">
        <v>1</v>
      </c>
      <c r="AW6" s="12">
        <v>1</v>
      </c>
      <c r="AX6" s="12" t="s">
        <v>81</v>
      </c>
      <c r="AY6" s="12" t="s">
        <v>82</v>
      </c>
      <c r="AZ6" s="12" t="s">
        <v>83</v>
      </c>
      <c r="BA6" s="12" t="s">
        <v>84</v>
      </c>
      <c r="BB6" s="12"/>
      <c r="BC6" s="27" t="s">
        <v>1497</v>
      </c>
      <c r="BD6" s="27" t="s">
        <v>1498</v>
      </c>
      <c r="BE6" s="12"/>
    </row>
    <row r="7" spans="1:57" x14ac:dyDescent="0.25">
      <c r="A7" s="12" t="s">
        <v>105</v>
      </c>
      <c r="B7" s="12" t="s">
        <v>57</v>
      </c>
      <c r="C7" s="25">
        <v>21813</v>
      </c>
      <c r="D7" s="12">
        <f t="shared" si="6"/>
        <v>263</v>
      </c>
      <c r="E7" s="23">
        <f t="shared" si="7"/>
        <v>263</v>
      </c>
      <c r="F7" s="12">
        <f t="shared" si="0"/>
        <v>1959</v>
      </c>
      <c r="G7" s="12">
        <f t="shared" si="8"/>
        <v>9</v>
      </c>
      <c r="H7" s="12">
        <f t="shared" si="9"/>
        <v>20</v>
      </c>
      <c r="I7" s="24">
        <f t="shared" si="10"/>
        <v>21813</v>
      </c>
      <c r="J7" s="12" t="s">
        <v>58</v>
      </c>
      <c r="K7" s="12" t="str">
        <f t="shared" si="1"/>
        <v>Pica pica (Linnaeus, 1758)</v>
      </c>
      <c r="L7" s="12" t="str">
        <f t="shared" si="2"/>
        <v>Animalia|Chordata|Aves|Passeriformes|Corvidae|Pica</v>
      </c>
      <c r="M7" s="12" t="s">
        <v>59</v>
      </c>
      <c r="N7" s="12" t="s">
        <v>60</v>
      </c>
      <c r="O7" s="12" t="s">
        <v>61</v>
      </c>
      <c r="P7" s="12" t="s">
        <v>62</v>
      </c>
      <c r="Q7" s="12" t="s">
        <v>63</v>
      </c>
      <c r="R7" s="12" t="s">
        <v>95</v>
      </c>
      <c r="S7" s="12" t="s">
        <v>96</v>
      </c>
      <c r="T7" s="12" t="s">
        <v>66</v>
      </c>
      <c r="U7" s="12" t="s">
        <v>97</v>
      </c>
      <c r="V7" s="12" t="s">
        <v>1165</v>
      </c>
      <c r="W7" s="12" t="s">
        <v>68</v>
      </c>
      <c r="X7" s="12">
        <v>44.200369000000002</v>
      </c>
      <c r="Y7" s="12">
        <v>7.5717309999999998</v>
      </c>
      <c r="Z7" s="14" t="s">
        <v>69</v>
      </c>
      <c r="AA7" s="12">
        <v>1470</v>
      </c>
      <c r="AB7" s="12" t="str">
        <f t="shared" ref="AB7" si="11">X7&amp;"/"&amp;Y7</f>
        <v>44.200369/7.571731</v>
      </c>
      <c r="AC7" s="13" t="s">
        <v>1473</v>
      </c>
      <c r="AD7" s="25">
        <v>46054</v>
      </c>
      <c r="AE7" s="14" t="s">
        <v>70</v>
      </c>
      <c r="AF7" s="14" t="s">
        <v>71</v>
      </c>
      <c r="AG7" s="14" t="s">
        <v>72</v>
      </c>
      <c r="AH7" s="12" t="str">
        <f t="shared" si="4"/>
        <v>Europa | Italy | Piedmont | Limone Piemonte</v>
      </c>
      <c r="AI7" s="12" t="s">
        <v>73</v>
      </c>
      <c r="AJ7" s="12"/>
      <c r="AK7" s="12" t="s">
        <v>74</v>
      </c>
      <c r="AL7" s="12" t="str">
        <f t="shared" si="5"/>
        <v>ITA</v>
      </c>
      <c r="AM7" s="12" t="s">
        <v>90</v>
      </c>
      <c r="AN7" s="12" t="s">
        <v>91</v>
      </c>
      <c r="AO7" s="12" t="s">
        <v>57</v>
      </c>
      <c r="AP7" s="12" t="s">
        <v>77</v>
      </c>
      <c r="AQ7" s="12" t="s">
        <v>78</v>
      </c>
      <c r="AR7" s="12" t="s">
        <v>79</v>
      </c>
      <c r="AS7" s="12" t="s">
        <v>1177</v>
      </c>
      <c r="AT7" s="12"/>
      <c r="AU7" s="12" t="s">
        <v>105</v>
      </c>
      <c r="AV7" s="12">
        <v>1</v>
      </c>
      <c r="AW7" s="12">
        <v>1</v>
      </c>
      <c r="AX7" s="12" t="s">
        <v>81</v>
      </c>
      <c r="AY7" s="12" t="s">
        <v>82</v>
      </c>
      <c r="AZ7" s="12" t="s">
        <v>83</v>
      </c>
      <c r="BA7" s="12" t="s">
        <v>84</v>
      </c>
      <c r="BB7" s="12"/>
      <c r="BC7" s="27" t="s">
        <v>1499</v>
      </c>
      <c r="BD7" s="27" t="s">
        <v>1500</v>
      </c>
      <c r="BE7" s="12"/>
    </row>
    <row r="8" spans="1:57" x14ac:dyDescent="0.25">
      <c r="A8" s="12" t="s">
        <v>106</v>
      </c>
      <c r="B8" s="12" t="s">
        <v>57</v>
      </c>
      <c r="C8" s="12">
        <v>1922</v>
      </c>
      <c r="D8" s="12"/>
      <c r="E8" s="23"/>
      <c r="F8" s="12">
        <f t="shared" si="0"/>
        <v>1922</v>
      </c>
      <c r="G8" s="12"/>
      <c r="H8" s="12"/>
      <c r="I8" s="24">
        <f t="shared" si="10"/>
        <v>1922</v>
      </c>
      <c r="J8" s="12" t="s">
        <v>107</v>
      </c>
      <c r="K8" s="12" t="str">
        <f t="shared" si="1"/>
        <v>Eriocnemis vestita (Lesson, 1839)</v>
      </c>
      <c r="L8" s="12" t="str">
        <f t="shared" si="2"/>
        <v>Animalia|Chordata|Aves|Apodiformes|Trochilidae|Eriocnemis</v>
      </c>
      <c r="M8" s="12" t="s">
        <v>59</v>
      </c>
      <c r="N8" s="12" t="s">
        <v>60</v>
      </c>
      <c r="O8" s="12" t="s">
        <v>61</v>
      </c>
      <c r="P8" s="12" t="s">
        <v>108</v>
      </c>
      <c r="Q8" s="12" t="s">
        <v>109</v>
      </c>
      <c r="R8" s="12" t="s">
        <v>110</v>
      </c>
      <c r="S8" s="12" t="s">
        <v>111</v>
      </c>
      <c r="T8" s="12" t="s">
        <v>66</v>
      </c>
      <c r="U8" s="12" t="s">
        <v>112</v>
      </c>
      <c r="V8" s="12"/>
      <c r="W8" s="12" t="s">
        <v>68</v>
      </c>
      <c r="X8" s="12">
        <v>8</v>
      </c>
      <c r="Y8" s="12">
        <v>-66</v>
      </c>
      <c r="Z8" s="14" t="s">
        <v>69</v>
      </c>
      <c r="AA8" s="12">
        <v>100000</v>
      </c>
      <c r="AB8" s="12" t="str">
        <f t="shared" si="3"/>
        <v>8/-66</v>
      </c>
      <c r="AC8" s="13" t="s">
        <v>1473</v>
      </c>
      <c r="AD8" s="25">
        <v>46054</v>
      </c>
      <c r="AE8" s="14" t="s">
        <v>70</v>
      </c>
      <c r="AF8" s="14" t="s">
        <v>71</v>
      </c>
      <c r="AG8" s="14" t="s">
        <v>72</v>
      </c>
      <c r="AH8" s="12" t="str">
        <f t="shared" si="4"/>
        <v>South America | Venezuela</v>
      </c>
      <c r="AI8" s="12" t="s">
        <v>1164</v>
      </c>
      <c r="AJ8" s="12"/>
      <c r="AK8" s="12" t="s">
        <v>113</v>
      </c>
      <c r="AL8" s="12" t="str">
        <f t="shared" si="5"/>
        <v>VEN</v>
      </c>
      <c r="AM8" s="12"/>
      <c r="AN8" s="12"/>
      <c r="AO8" s="12" t="s">
        <v>57</v>
      </c>
      <c r="AP8" s="12" t="s">
        <v>77</v>
      </c>
      <c r="AQ8" s="12" t="s">
        <v>78</v>
      </c>
      <c r="AR8" s="12" t="s">
        <v>79</v>
      </c>
      <c r="AS8" s="12" t="s">
        <v>1178</v>
      </c>
      <c r="AT8" s="12"/>
      <c r="AU8" s="12" t="s">
        <v>106</v>
      </c>
      <c r="AV8" s="12">
        <v>1</v>
      </c>
      <c r="AW8" s="12">
        <v>1</v>
      </c>
      <c r="AX8" s="12" t="s">
        <v>81</v>
      </c>
      <c r="AY8" s="12" t="s">
        <v>82</v>
      </c>
      <c r="AZ8" s="12" t="s">
        <v>83</v>
      </c>
      <c r="BA8" s="12" t="s">
        <v>84</v>
      </c>
      <c r="BB8" s="12"/>
      <c r="BC8" s="27" t="s">
        <v>1501</v>
      </c>
      <c r="BD8" s="27" t="s">
        <v>1502</v>
      </c>
      <c r="BE8" s="12"/>
    </row>
    <row r="9" spans="1:57" x14ac:dyDescent="0.25">
      <c r="A9" s="12" t="s">
        <v>114</v>
      </c>
      <c r="B9" s="12" t="s">
        <v>57</v>
      </c>
      <c r="C9" s="12">
        <v>1920</v>
      </c>
      <c r="D9" s="12"/>
      <c r="E9" s="23"/>
      <c r="F9" s="12">
        <f t="shared" si="0"/>
        <v>1920</v>
      </c>
      <c r="G9" s="12"/>
      <c r="H9" s="12"/>
      <c r="I9" s="24">
        <f t="shared" si="10"/>
        <v>1920</v>
      </c>
      <c r="J9" s="12" t="s">
        <v>115</v>
      </c>
      <c r="K9" s="12" t="str">
        <f t="shared" si="1"/>
        <v>Trichoglossus moluccans (Pallas, 1764)</v>
      </c>
      <c r="L9" s="12" t="str">
        <f t="shared" si="2"/>
        <v>Animalia|Chordata|Aves|Psittaciformes|Psittaculidae|Trichoglossus</v>
      </c>
      <c r="M9" s="12" t="s">
        <v>59</v>
      </c>
      <c r="N9" s="12" t="s">
        <v>60</v>
      </c>
      <c r="O9" s="12" t="s">
        <v>61</v>
      </c>
      <c r="P9" s="12" t="s">
        <v>116</v>
      </c>
      <c r="Q9" s="12" t="s">
        <v>117</v>
      </c>
      <c r="R9" s="12" t="s">
        <v>118</v>
      </c>
      <c r="S9" s="12" t="s">
        <v>119</v>
      </c>
      <c r="T9" s="12" t="s">
        <v>66</v>
      </c>
      <c r="U9" s="12" t="s">
        <v>120</v>
      </c>
      <c r="V9" s="12"/>
      <c r="W9" s="12" t="s">
        <v>68</v>
      </c>
      <c r="X9" s="12">
        <v>-23</v>
      </c>
      <c r="Y9" s="12">
        <v>135</v>
      </c>
      <c r="Z9" s="14" t="s">
        <v>69</v>
      </c>
      <c r="AA9" s="12">
        <v>1000000</v>
      </c>
      <c r="AB9" s="12" t="str">
        <f t="shared" si="3"/>
        <v>-23/135</v>
      </c>
      <c r="AC9" s="13" t="s">
        <v>1473</v>
      </c>
      <c r="AD9" s="25">
        <v>46054</v>
      </c>
      <c r="AE9" s="14" t="s">
        <v>70</v>
      </c>
      <c r="AF9" s="14" t="s">
        <v>71</v>
      </c>
      <c r="AG9" s="14" t="s">
        <v>72</v>
      </c>
      <c r="AH9" s="12" t="str">
        <f t="shared" si="4"/>
        <v>Oceania | Australia</v>
      </c>
      <c r="AI9" s="12" t="s">
        <v>121</v>
      </c>
      <c r="AJ9" s="12"/>
      <c r="AK9" s="12" t="s">
        <v>122</v>
      </c>
      <c r="AL9" s="12" t="str">
        <f t="shared" si="5"/>
        <v>AUS</v>
      </c>
      <c r="AM9" s="12"/>
      <c r="AN9" s="12"/>
      <c r="AO9" s="12" t="s">
        <v>57</v>
      </c>
      <c r="AP9" s="12" t="s">
        <v>77</v>
      </c>
      <c r="AQ9" s="12" t="s">
        <v>78</v>
      </c>
      <c r="AR9" s="12" t="s">
        <v>79</v>
      </c>
      <c r="AS9" s="12" t="s">
        <v>1179</v>
      </c>
      <c r="AT9" s="12"/>
      <c r="AU9" s="12" t="s">
        <v>114</v>
      </c>
      <c r="AV9" s="12">
        <v>1</v>
      </c>
      <c r="AW9" s="12">
        <v>1</v>
      </c>
      <c r="AX9" s="12" t="s">
        <v>81</v>
      </c>
      <c r="AY9" s="12" t="s">
        <v>82</v>
      </c>
      <c r="AZ9" s="12" t="s">
        <v>83</v>
      </c>
      <c r="BA9" s="12" t="s">
        <v>84</v>
      </c>
      <c r="BB9" s="12"/>
      <c r="BC9" s="27" t="s">
        <v>1503</v>
      </c>
      <c r="BD9" s="27" t="s">
        <v>1504</v>
      </c>
      <c r="BE9" s="12"/>
    </row>
    <row r="10" spans="1:57" x14ac:dyDescent="0.25">
      <c r="A10" s="12" t="s">
        <v>123</v>
      </c>
      <c r="B10" s="12" t="s">
        <v>57</v>
      </c>
      <c r="C10" s="12">
        <v>1920</v>
      </c>
      <c r="D10" s="12"/>
      <c r="E10" s="23"/>
      <c r="F10" s="12">
        <f t="shared" si="0"/>
        <v>1920</v>
      </c>
      <c r="G10" s="12"/>
      <c r="H10" s="12"/>
      <c r="I10" s="24">
        <f t="shared" si="10"/>
        <v>1920</v>
      </c>
      <c r="J10" s="12" t="s">
        <v>124</v>
      </c>
      <c r="K10" s="12" t="str">
        <f t="shared" si="1"/>
        <v>Ramphastos dicolorus (Linnaeus, 1766)</v>
      </c>
      <c r="L10" s="12" t="str">
        <f t="shared" si="2"/>
        <v>Animalia|Chordata|Aves|Piciformes|Ramphastidae|Ramphastos</v>
      </c>
      <c r="M10" s="12" t="s">
        <v>59</v>
      </c>
      <c r="N10" s="12" t="s">
        <v>60</v>
      </c>
      <c r="O10" s="12" t="s">
        <v>61</v>
      </c>
      <c r="P10" s="12" t="s">
        <v>125</v>
      </c>
      <c r="Q10" s="12" t="s">
        <v>126</v>
      </c>
      <c r="R10" s="12" t="s">
        <v>127</v>
      </c>
      <c r="S10" s="12" t="s">
        <v>128</v>
      </c>
      <c r="T10" s="12" t="s">
        <v>66</v>
      </c>
      <c r="U10" s="12" t="s">
        <v>129</v>
      </c>
      <c r="V10" s="12"/>
      <c r="W10" s="12" t="s">
        <v>68</v>
      </c>
      <c r="X10" s="12">
        <v>-15</v>
      </c>
      <c r="Y10" s="12">
        <v>-47</v>
      </c>
      <c r="Z10" s="14" t="s">
        <v>69</v>
      </c>
      <c r="AA10" s="12">
        <v>1000000</v>
      </c>
      <c r="AB10" s="12" t="str">
        <f t="shared" si="3"/>
        <v>-15/-47</v>
      </c>
      <c r="AC10" s="13" t="s">
        <v>1473</v>
      </c>
      <c r="AD10" s="25">
        <v>46054</v>
      </c>
      <c r="AE10" s="14" t="s">
        <v>70</v>
      </c>
      <c r="AF10" s="14" t="s">
        <v>71</v>
      </c>
      <c r="AG10" s="14" t="s">
        <v>72</v>
      </c>
      <c r="AH10" s="12" t="str">
        <f t="shared" si="4"/>
        <v>South America | Brazil</v>
      </c>
      <c r="AI10" s="12" t="s">
        <v>1164</v>
      </c>
      <c r="AJ10" s="12"/>
      <c r="AK10" s="12" t="s">
        <v>130</v>
      </c>
      <c r="AL10" s="12" t="str">
        <f t="shared" si="5"/>
        <v>BRA</v>
      </c>
      <c r="AM10" s="12"/>
      <c r="AN10" s="12"/>
      <c r="AO10" s="12" t="s">
        <v>57</v>
      </c>
      <c r="AP10" s="12" t="s">
        <v>77</v>
      </c>
      <c r="AQ10" s="12" t="s">
        <v>78</v>
      </c>
      <c r="AR10" s="12" t="s">
        <v>79</v>
      </c>
      <c r="AS10" s="12" t="s">
        <v>1180</v>
      </c>
      <c r="AT10" s="12"/>
      <c r="AU10" s="12" t="s">
        <v>123</v>
      </c>
      <c r="AV10" s="12">
        <v>1</v>
      </c>
      <c r="AW10" s="12">
        <v>1</v>
      </c>
      <c r="AX10" s="12" t="s">
        <v>81</v>
      </c>
      <c r="AY10" s="12" t="s">
        <v>82</v>
      </c>
      <c r="AZ10" s="12" t="s">
        <v>83</v>
      </c>
      <c r="BA10" s="12" t="s">
        <v>84</v>
      </c>
      <c r="BB10" s="12"/>
      <c r="BC10" s="27" t="s">
        <v>1505</v>
      </c>
      <c r="BD10" s="27" t="s">
        <v>1506</v>
      </c>
      <c r="BE10" s="12"/>
    </row>
    <row r="11" spans="1:57" x14ac:dyDescent="0.25">
      <c r="A11" s="12" t="s">
        <v>131</v>
      </c>
      <c r="B11" s="12" t="s">
        <v>57</v>
      </c>
      <c r="C11" s="12">
        <v>1922</v>
      </c>
      <c r="D11" s="12"/>
      <c r="E11" s="23"/>
      <c r="F11" s="12">
        <f t="shared" si="0"/>
        <v>1922</v>
      </c>
      <c r="G11" s="12"/>
      <c r="H11" s="12"/>
      <c r="I11" s="24">
        <f t="shared" si="10"/>
        <v>1922</v>
      </c>
      <c r="J11" s="12" t="s">
        <v>124</v>
      </c>
      <c r="K11" s="12" t="str">
        <f t="shared" si="1"/>
        <v>Ramphastos dicolorus (Linnaeus, 1766)</v>
      </c>
      <c r="L11" s="12" t="str">
        <f t="shared" si="2"/>
        <v>Animalia|Chordata|Aves|Piciformes|Ramphastidae|Ramphastos</v>
      </c>
      <c r="M11" s="12" t="s">
        <v>59</v>
      </c>
      <c r="N11" s="12" t="s">
        <v>60</v>
      </c>
      <c r="O11" s="12" t="s">
        <v>61</v>
      </c>
      <c r="P11" s="12" t="s">
        <v>125</v>
      </c>
      <c r="Q11" s="12" t="s">
        <v>126</v>
      </c>
      <c r="R11" s="12" t="s">
        <v>127</v>
      </c>
      <c r="S11" s="12" t="s">
        <v>128</v>
      </c>
      <c r="T11" s="12" t="s">
        <v>66</v>
      </c>
      <c r="U11" s="12" t="s">
        <v>129</v>
      </c>
      <c r="V11" s="12"/>
      <c r="W11" s="12" t="s">
        <v>68</v>
      </c>
      <c r="X11" s="12">
        <v>-15</v>
      </c>
      <c r="Y11" s="12">
        <v>-47</v>
      </c>
      <c r="Z11" s="14" t="s">
        <v>69</v>
      </c>
      <c r="AA11" s="12">
        <v>1000000</v>
      </c>
      <c r="AB11" s="12" t="str">
        <f t="shared" si="3"/>
        <v>-15/-47</v>
      </c>
      <c r="AC11" s="13" t="s">
        <v>1473</v>
      </c>
      <c r="AD11" s="25">
        <v>46054</v>
      </c>
      <c r="AE11" s="14" t="s">
        <v>70</v>
      </c>
      <c r="AF11" s="14" t="s">
        <v>71</v>
      </c>
      <c r="AG11" s="14" t="s">
        <v>72</v>
      </c>
      <c r="AH11" s="12" t="str">
        <f t="shared" si="4"/>
        <v>South America | Brazil</v>
      </c>
      <c r="AI11" s="12" t="s">
        <v>1164</v>
      </c>
      <c r="AJ11" s="12"/>
      <c r="AK11" s="12" t="s">
        <v>130</v>
      </c>
      <c r="AL11" s="12" t="str">
        <f t="shared" si="5"/>
        <v>BRA</v>
      </c>
      <c r="AM11" s="12"/>
      <c r="AN11" s="12"/>
      <c r="AO11" s="12" t="s">
        <v>57</v>
      </c>
      <c r="AP11" s="12" t="s">
        <v>77</v>
      </c>
      <c r="AQ11" s="12" t="s">
        <v>78</v>
      </c>
      <c r="AR11" s="12" t="s">
        <v>79</v>
      </c>
      <c r="AS11" s="12" t="s">
        <v>1181</v>
      </c>
      <c r="AT11" s="12"/>
      <c r="AU11" s="12" t="s">
        <v>131</v>
      </c>
      <c r="AV11" s="12">
        <v>1</v>
      </c>
      <c r="AW11" s="12">
        <v>1</v>
      </c>
      <c r="AX11" s="12" t="s">
        <v>81</v>
      </c>
      <c r="AY11" s="12" t="s">
        <v>82</v>
      </c>
      <c r="AZ11" s="12" t="s">
        <v>83</v>
      </c>
      <c r="BA11" s="12" t="s">
        <v>84</v>
      </c>
      <c r="BB11" s="12"/>
      <c r="BC11" s="27" t="s">
        <v>1507</v>
      </c>
      <c r="BD11" s="27" t="s">
        <v>1508</v>
      </c>
      <c r="BE11" s="12" t="s">
        <v>1477</v>
      </c>
    </row>
    <row r="12" spans="1:57" x14ac:dyDescent="0.25">
      <c r="A12" s="12" t="s">
        <v>132</v>
      </c>
      <c r="B12" s="12" t="s">
        <v>57</v>
      </c>
      <c r="C12" s="12">
        <v>1876</v>
      </c>
      <c r="D12" s="12"/>
      <c r="E12" s="23"/>
      <c r="F12" s="12">
        <f t="shared" si="0"/>
        <v>1876</v>
      </c>
      <c r="G12" s="12"/>
      <c r="H12" s="12"/>
      <c r="I12" s="24">
        <f t="shared" si="10"/>
        <v>1876</v>
      </c>
      <c r="J12" s="12" t="s">
        <v>133</v>
      </c>
      <c r="K12" s="12" t="str">
        <f t="shared" si="1"/>
        <v>Corvus albus (Statius Müller, 1776)</v>
      </c>
      <c r="L12" s="12" t="str">
        <f t="shared" si="2"/>
        <v>Animalia|Chordata|Aves|Passeriformes|Corvidae|Corvus</v>
      </c>
      <c r="M12" s="12" t="s">
        <v>59</v>
      </c>
      <c r="N12" s="12" t="s">
        <v>60</v>
      </c>
      <c r="O12" s="12" t="s">
        <v>61</v>
      </c>
      <c r="P12" s="12" t="s">
        <v>62</v>
      </c>
      <c r="Q12" s="12" t="s">
        <v>63</v>
      </c>
      <c r="R12" s="12" t="s">
        <v>134</v>
      </c>
      <c r="S12" s="12" t="s">
        <v>135</v>
      </c>
      <c r="T12" s="12" t="s">
        <v>66</v>
      </c>
      <c r="U12" s="12" t="s">
        <v>136</v>
      </c>
      <c r="V12" s="12" t="s">
        <v>1166</v>
      </c>
      <c r="W12" s="12" t="s">
        <v>68</v>
      </c>
      <c r="X12" s="12">
        <v>9.9905690000000007</v>
      </c>
      <c r="Y12" s="12">
        <v>39.899033000000003</v>
      </c>
      <c r="Z12" s="14" t="s">
        <v>69</v>
      </c>
      <c r="AA12" s="12">
        <v>3285</v>
      </c>
      <c r="AB12" s="12" t="str">
        <f t="shared" si="3"/>
        <v>9.990569/39.899033</v>
      </c>
      <c r="AC12" s="13" t="s">
        <v>1473</v>
      </c>
      <c r="AD12" s="25">
        <v>46054</v>
      </c>
      <c r="AE12" s="14" t="s">
        <v>70</v>
      </c>
      <c r="AF12" s="14" t="s">
        <v>71</v>
      </c>
      <c r="AG12" s="14" t="s">
        <v>72</v>
      </c>
      <c r="AH12" s="12" t="str">
        <f t="shared" si="4"/>
        <v>Africa | Ethiopia | Shewa</v>
      </c>
      <c r="AI12" s="12" t="s">
        <v>137</v>
      </c>
      <c r="AJ12" s="12"/>
      <c r="AK12" s="12" t="s">
        <v>138</v>
      </c>
      <c r="AL12" s="12" t="str">
        <f t="shared" si="5"/>
        <v>ETH</v>
      </c>
      <c r="AM12" s="12"/>
      <c r="AN12" s="12" t="s">
        <v>139</v>
      </c>
      <c r="AO12" s="12" t="s">
        <v>57</v>
      </c>
      <c r="AP12" s="12" t="s">
        <v>77</v>
      </c>
      <c r="AQ12" s="12" t="s">
        <v>78</v>
      </c>
      <c r="AR12" s="12" t="s">
        <v>79</v>
      </c>
      <c r="AS12" s="12" t="s">
        <v>1182</v>
      </c>
      <c r="AT12" s="12" t="s">
        <v>92</v>
      </c>
      <c r="AU12" s="12" t="s">
        <v>132</v>
      </c>
      <c r="AV12" s="12">
        <v>1</v>
      </c>
      <c r="AW12" s="12">
        <v>1</v>
      </c>
      <c r="AX12" s="12" t="s">
        <v>81</v>
      </c>
      <c r="AY12" s="12" t="s">
        <v>82</v>
      </c>
      <c r="AZ12" s="12" t="s">
        <v>83</v>
      </c>
      <c r="BA12" s="12" t="s">
        <v>84</v>
      </c>
      <c r="BB12" s="12"/>
      <c r="BC12" s="27" t="s">
        <v>1509</v>
      </c>
      <c r="BD12" s="27" t="s">
        <v>1510</v>
      </c>
      <c r="BE12" s="12"/>
    </row>
    <row r="13" spans="1:57" x14ac:dyDescent="0.25">
      <c r="A13" s="12" t="s">
        <v>140</v>
      </c>
      <c r="B13" s="12" t="s">
        <v>57</v>
      </c>
      <c r="C13" s="12">
        <v>1902</v>
      </c>
      <c r="D13" s="12"/>
      <c r="E13" s="23"/>
      <c r="F13" s="12">
        <f t="shared" si="0"/>
        <v>1902</v>
      </c>
      <c r="G13" s="12"/>
      <c r="H13" s="12"/>
      <c r="I13" s="24">
        <f t="shared" si="10"/>
        <v>1902</v>
      </c>
      <c r="J13" s="12" t="s">
        <v>141</v>
      </c>
      <c r="K13" s="12" t="str">
        <f t="shared" si="1"/>
        <v>Trochilidaesp.  (Vigors, 1825)</v>
      </c>
      <c r="L13" s="12" t="str">
        <f t="shared" si="2"/>
        <v>Animalia|Chordata|Aves|Apodiformes|Trochilidae|Trochilidaesp.</v>
      </c>
      <c r="M13" s="12" t="s">
        <v>59</v>
      </c>
      <c r="N13" s="12" t="s">
        <v>60</v>
      </c>
      <c r="O13" s="12" t="s">
        <v>61</v>
      </c>
      <c r="P13" s="12" t="s">
        <v>108</v>
      </c>
      <c r="Q13" s="12" t="s">
        <v>109</v>
      </c>
      <c r="R13" s="12" t="s">
        <v>884</v>
      </c>
      <c r="S13" s="12"/>
      <c r="T13" s="12" t="s">
        <v>66</v>
      </c>
      <c r="U13" s="12" t="s">
        <v>142</v>
      </c>
      <c r="V13" s="12"/>
      <c r="W13" s="12" t="s">
        <v>68</v>
      </c>
      <c r="X13" s="12">
        <v>-2</v>
      </c>
      <c r="Y13" s="12">
        <v>-78</v>
      </c>
      <c r="Z13" s="14" t="s">
        <v>69</v>
      </c>
      <c r="AA13" s="12">
        <v>100000</v>
      </c>
      <c r="AB13" s="12" t="str">
        <f t="shared" si="3"/>
        <v>-2/-78</v>
      </c>
      <c r="AC13" s="13" t="s">
        <v>1473</v>
      </c>
      <c r="AD13" s="25">
        <v>46054</v>
      </c>
      <c r="AE13" s="14" t="s">
        <v>70</v>
      </c>
      <c r="AF13" s="14" t="s">
        <v>71</v>
      </c>
      <c r="AG13" s="14" t="s">
        <v>72</v>
      </c>
      <c r="AH13" s="12" t="str">
        <f t="shared" si="4"/>
        <v>South America | Equador</v>
      </c>
      <c r="AI13" s="12" t="s">
        <v>1164</v>
      </c>
      <c r="AJ13" s="12"/>
      <c r="AK13" s="12" t="s">
        <v>143</v>
      </c>
      <c r="AL13" s="12" t="str">
        <f t="shared" si="5"/>
        <v>ECU</v>
      </c>
      <c r="AM13" s="12"/>
      <c r="AN13" s="12"/>
      <c r="AO13" s="12" t="s">
        <v>57</v>
      </c>
      <c r="AP13" s="12" t="s">
        <v>77</v>
      </c>
      <c r="AQ13" s="12" t="s">
        <v>78</v>
      </c>
      <c r="AR13" s="12" t="s">
        <v>79</v>
      </c>
      <c r="AS13" s="12" t="s">
        <v>1183</v>
      </c>
      <c r="AT13" s="12"/>
      <c r="AU13" s="12" t="s">
        <v>140</v>
      </c>
      <c r="AV13" s="12">
        <v>1</v>
      </c>
      <c r="AW13" s="12">
        <v>1</v>
      </c>
      <c r="AX13" s="12" t="s">
        <v>81</v>
      </c>
      <c r="AY13" s="12" t="s">
        <v>82</v>
      </c>
      <c r="AZ13" s="12" t="s">
        <v>83</v>
      </c>
      <c r="BA13" s="12" t="s">
        <v>84</v>
      </c>
      <c r="BB13" s="12"/>
      <c r="BC13" s="27" t="s">
        <v>1511</v>
      </c>
      <c r="BD13" s="27" t="s">
        <v>1512</v>
      </c>
      <c r="BE13" s="12"/>
    </row>
    <row r="14" spans="1:57" x14ac:dyDescent="0.25">
      <c r="A14" s="12" t="s">
        <v>144</v>
      </c>
      <c r="B14" s="12" t="s">
        <v>57</v>
      </c>
      <c r="C14" s="25">
        <v>18530</v>
      </c>
      <c r="D14" s="12">
        <f t="shared" si="6"/>
        <v>267</v>
      </c>
      <c r="E14" s="23">
        <f t="shared" si="7"/>
        <v>267</v>
      </c>
      <c r="F14" s="12">
        <f t="shared" si="0"/>
        <v>1950</v>
      </c>
      <c r="G14" s="12">
        <f t="shared" si="8"/>
        <v>9</v>
      </c>
      <c r="H14" s="12">
        <f t="shared" si="9"/>
        <v>24</v>
      </c>
      <c r="I14" s="24">
        <f t="shared" si="10"/>
        <v>18530</v>
      </c>
      <c r="J14" s="12" t="s">
        <v>145</v>
      </c>
      <c r="K14" s="12" t="str">
        <f t="shared" si="1"/>
        <v>Passer italiae (Viellot, 1817)</v>
      </c>
      <c r="L14" s="12" t="str">
        <f t="shared" si="2"/>
        <v>Animalia|Chordata|Aves|Passeriformes|Passeridae|Passer</v>
      </c>
      <c r="M14" s="12" t="s">
        <v>59</v>
      </c>
      <c r="N14" s="12" t="s">
        <v>60</v>
      </c>
      <c r="O14" s="12" t="s">
        <v>61</v>
      </c>
      <c r="P14" s="12" t="s">
        <v>62</v>
      </c>
      <c r="Q14" s="12" t="s">
        <v>146</v>
      </c>
      <c r="R14" s="12" t="s">
        <v>147</v>
      </c>
      <c r="S14" s="12" t="s">
        <v>148</v>
      </c>
      <c r="T14" s="12" t="s">
        <v>66</v>
      </c>
      <c r="U14" s="12" t="s">
        <v>149</v>
      </c>
      <c r="V14" s="12"/>
      <c r="W14" s="12" t="s">
        <v>68</v>
      </c>
      <c r="X14" s="12">
        <v>45.416666999999997</v>
      </c>
      <c r="Y14" s="12">
        <v>11.883333</v>
      </c>
      <c r="Z14" s="14" t="s">
        <v>69</v>
      </c>
      <c r="AA14" s="12">
        <v>7350</v>
      </c>
      <c r="AB14" s="12" t="str">
        <f t="shared" si="3"/>
        <v>45.416667/11.883333</v>
      </c>
      <c r="AC14" s="13" t="s">
        <v>1473</v>
      </c>
      <c r="AD14" s="25">
        <v>46054</v>
      </c>
      <c r="AE14" s="14" t="s">
        <v>70</v>
      </c>
      <c r="AF14" s="14" t="s">
        <v>71</v>
      </c>
      <c r="AG14" s="14" t="s">
        <v>72</v>
      </c>
      <c r="AH14" s="12" t="str">
        <f t="shared" si="4"/>
        <v>Europa | Italy | Veneto | Padua</v>
      </c>
      <c r="AI14" s="12" t="s">
        <v>73</v>
      </c>
      <c r="AJ14" s="12"/>
      <c r="AK14" s="12" t="s">
        <v>74</v>
      </c>
      <c r="AL14" s="12" t="str">
        <f t="shared" si="5"/>
        <v>ITA</v>
      </c>
      <c r="AM14" s="12" t="s">
        <v>150</v>
      </c>
      <c r="AN14" s="12" t="s">
        <v>151</v>
      </c>
      <c r="AO14" s="12" t="s">
        <v>57</v>
      </c>
      <c r="AP14" s="12" t="s">
        <v>77</v>
      </c>
      <c r="AQ14" s="12" t="s">
        <v>78</v>
      </c>
      <c r="AR14" s="12" t="s">
        <v>79</v>
      </c>
      <c r="AS14" s="12" t="s">
        <v>1184</v>
      </c>
      <c r="AT14" s="12" t="s">
        <v>80</v>
      </c>
      <c r="AU14" s="12" t="s">
        <v>144</v>
      </c>
      <c r="AV14" s="12">
        <v>1</v>
      </c>
      <c r="AW14" s="12">
        <v>1</v>
      </c>
      <c r="AX14" s="12" t="s">
        <v>81</v>
      </c>
      <c r="AY14" s="12" t="s">
        <v>82</v>
      </c>
      <c r="AZ14" s="12" t="s">
        <v>83</v>
      </c>
      <c r="BA14" s="12" t="s">
        <v>84</v>
      </c>
      <c r="BB14" s="12"/>
      <c r="BC14" s="27" t="s">
        <v>1513</v>
      </c>
      <c r="BD14" s="27" t="s">
        <v>1514</v>
      </c>
      <c r="BE14" s="12"/>
    </row>
    <row r="15" spans="1:57" x14ac:dyDescent="0.25">
      <c r="A15" s="12" t="s">
        <v>152</v>
      </c>
      <c r="B15" s="12" t="s">
        <v>57</v>
      </c>
      <c r="C15" s="12">
        <v>1978</v>
      </c>
      <c r="D15" s="12"/>
      <c r="E15" s="23"/>
      <c r="F15" s="12">
        <f t="shared" si="0"/>
        <v>1978</v>
      </c>
      <c r="G15" s="12"/>
      <c r="H15" s="12"/>
      <c r="I15" s="24">
        <f t="shared" si="10"/>
        <v>1978</v>
      </c>
      <c r="J15" s="12" t="s">
        <v>145</v>
      </c>
      <c r="K15" s="12" t="str">
        <f t="shared" si="1"/>
        <v>Passer italiae (Viellot, 1817)</v>
      </c>
      <c r="L15" s="12" t="str">
        <f t="shared" si="2"/>
        <v>Animalia|Chordata|Aves|Passeriformes|Passeridae|Passer</v>
      </c>
      <c r="M15" s="12" t="s">
        <v>59</v>
      </c>
      <c r="N15" s="12" t="s">
        <v>60</v>
      </c>
      <c r="O15" s="12" t="s">
        <v>61</v>
      </c>
      <c r="P15" s="12" t="s">
        <v>62</v>
      </c>
      <c r="Q15" s="12" t="s">
        <v>146</v>
      </c>
      <c r="R15" s="12" t="s">
        <v>147</v>
      </c>
      <c r="S15" s="12" t="s">
        <v>148</v>
      </c>
      <c r="T15" s="12" t="s">
        <v>66</v>
      </c>
      <c r="U15" s="12" t="s">
        <v>149</v>
      </c>
      <c r="V15" s="12" t="s">
        <v>1167</v>
      </c>
      <c r="W15" s="12" t="s">
        <v>68</v>
      </c>
      <c r="X15" s="12">
        <v>41.9</v>
      </c>
      <c r="Y15" s="12">
        <v>12.483333</v>
      </c>
      <c r="Z15" s="14" t="s">
        <v>69</v>
      </c>
      <c r="AA15" s="12">
        <v>36625</v>
      </c>
      <c r="AB15" s="12" t="str">
        <f t="shared" si="3"/>
        <v>41.9/12.483333</v>
      </c>
      <c r="AC15" s="13" t="s">
        <v>1473</v>
      </c>
      <c r="AD15" s="25">
        <v>46054</v>
      </c>
      <c r="AE15" s="14" t="s">
        <v>70</v>
      </c>
      <c r="AF15" s="14" t="s">
        <v>71</v>
      </c>
      <c r="AG15" s="14" t="s">
        <v>72</v>
      </c>
      <c r="AH15" s="12" t="str">
        <f t="shared" si="4"/>
        <v>Europa | Italy | Lazio | Rome</v>
      </c>
      <c r="AI15" s="12" t="s">
        <v>73</v>
      </c>
      <c r="AJ15" s="12"/>
      <c r="AK15" s="12" t="s">
        <v>74</v>
      </c>
      <c r="AL15" s="12" t="str">
        <f t="shared" si="5"/>
        <v>ITA</v>
      </c>
      <c r="AM15" s="12" t="s">
        <v>75</v>
      </c>
      <c r="AN15" s="12" t="s">
        <v>153</v>
      </c>
      <c r="AO15" s="12" t="s">
        <v>57</v>
      </c>
      <c r="AP15" s="12" t="s">
        <v>77</v>
      </c>
      <c r="AQ15" s="12" t="s">
        <v>78</v>
      </c>
      <c r="AR15" s="12" t="s">
        <v>79</v>
      </c>
      <c r="AS15" s="12" t="s">
        <v>1185</v>
      </c>
      <c r="AT15" s="12" t="s">
        <v>80</v>
      </c>
      <c r="AU15" s="12" t="s">
        <v>152</v>
      </c>
      <c r="AV15" s="12">
        <v>1</v>
      </c>
      <c r="AW15" s="12">
        <v>1</v>
      </c>
      <c r="AX15" s="12" t="s">
        <v>81</v>
      </c>
      <c r="AY15" s="12" t="s">
        <v>82</v>
      </c>
      <c r="AZ15" s="12" t="s">
        <v>83</v>
      </c>
      <c r="BA15" s="12" t="s">
        <v>84</v>
      </c>
      <c r="BB15" s="12"/>
      <c r="BC15" s="27" t="s">
        <v>1515</v>
      </c>
      <c r="BD15" s="27" t="s">
        <v>1516</v>
      </c>
      <c r="BE15" s="12"/>
    </row>
    <row r="16" spans="1:57" x14ac:dyDescent="0.25">
      <c r="A16" s="12" t="s">
        <v>154</v>
      </c>
      <c r="B16" s="12" t="s">
        <v>57</v>
      </c>
      <c r="C16" s="25">
        <v>18540</v>
      </c>
      <c r="D16" s="12">
        <f t="shared" si="6"/>
        <v>277</v>
      </c>
      <c r="E16" s="23">
        <f t="shared" si="7"/>
        <v>277</v>
      </c>
      <c r="F16" s="12">
        <f t="shared" si="0"/>
        <v>1950</v>
      </c>
      <c r="G16" s="12">
        <f t="shared" si="8"/>
        <v>10</v>
      </c>
      <c r="H16" s="12">
        <f t="shared" si="9"/>
        <v>4</v>
      </c>
      <c r="I16" s="24">
        <f t="shared" si="10"/>
        <v>18540</v>
      </c>
      <c r="J16" s="12" t="s">
        <v>58</v>
      </c>
      <c r="K16" s="12" t="str">
        <f t="shared" si="1"/>
        <v>Parus major (Linnaeus, 1758)</v>
      </c>
      <c r="L16" s="12" t="str">
        <f t="shared" si="2"/>
        <v>Animalia|Chordata|Aves|Passeriformes|Paridae|Parus</v>
      </c>
      <c r="M16" s="12" t="s">
        <v>59</v>
      </c>
      <c r="N16" s="12" t="s">
        <v>60</v>
      </c>
      <c r="O16" s="12" t="s">
        <v>61</v>
      </c>
      <c r="P16" s="12" t="s">
        <v>62</v>
      </c>
      <c r="Q16" s="12" t="s">
        <v>155</v>
      </c>
      <c r="R16" s="12" t="s">
        <v>156</v>
      </c>
      <c r="S16" s="12" t="s">
        <v>157</v>
      </c>
      <c r="T16" s="12" t="s">
        <v>66</v>
      </c>
      <c r="U16" s="12" t="s">
        <v>158</v>
      </c>
      <c r="V16" s="12"/>
      <c r="W16" s="12" t="s">
        <v>68</v>
      </c>
      <c r="X16" s="12">
        <v>45.416666999999997</v>
      </c>
      <c r="Y16" s="12">
        <v>11.883333</v>
      </c>
      <c r="Z16" s="14" t="s">
        <v>69</v>
      </c>
      <c r="AA16" s="12">
        <v>7350</v>
      </c>
      <c r="AB16" s="12" t="str">
        <f t="shared" si="3"/>
        <v>45.416667/11.883333</v>
      </c>
      <c r="AC16" s="13" t="s">
        <v>1473</v>
      </c>
      <c r="AD16" s="25">
        <v>46054</v>
      </c>
      <c r="AE16" s="14" t="s">
        <v>70</v>
      </c>
      <c r="AF16" s="14" t="s">
        <v>71</v>
      </c>
      <c r="AG16" s="14" t="s">
        <v>72</v>
      </c>
      <c r="AH16" s="12" t="str">
        <f t="shared" si="4"/>
        <v>Europa | Italy | Veneto | Padua</v>
      </c>
      <c r="AI16" s="12" t="s">
        <v>73</v>
      </c>
      <c r="AJ16" s="12"/>
      <c r="AK16" s="12" t="s">
        <v>74</v>
      </c>
      <c r="AL16" s="12" t="str">
        <f t="shared" si="5"/>
        <v>ITA</v>
      </c>
      <c r="AM16" s="12" t="s">
        <v>150</v>
      </c>
      <c r="AN16" s="12" t="s">
        <v>151</v>
      </c>
      <c r="AO16" s="12" t="s">
        <v>57</v>
      </c>
      <c r="AP16" s="12" t="s">
        <v>77</v>
      </c>
      <c r="AQ16" s="12" t="s">
        <v>78</v>
      </c>
      <c r="AR16" s="12" t="s">
        <v>79</v>
      </c>
      <c r="AS16" s="12" t="s">
        <v>1186</v>
      </c>
      <c r="AT16" s="12" t="s">
        <v>80</v>
      </c>
      <c r="AU16" s="12" t="s">
        <v>154</v>
      </c>
      <c r="AV16" s="12">
        <v>1</v>
      </c>
      <c r="AW16" s="12">
        <v>1</v>
      </c>
      <c r="AX16" s="12" t="s">
        <v>81</v>
      </c>
      <c r="AY16" s="12" t="s">
        <v>82</v>
      </c>
      <c r="AZ16" s="12" t="s">
        <v>83</v>
      </c>
      <c r="BA16" s="12" t="s">
        <v>84</v>
      </c>
      <c r="BB16" s="12"/>
      <c r="BC16" s="27" t="s">
        <v>1517</v>
      </c>
      <c r="BD16" s="27" t="s">
        <v>1518</v>
      </c>
      <c r="BE16" s="12"/>
    </row>
    <row r="17" spans="1:57" x14ac:dyDescent="0.25">
      <c r="A17" s="12" t="s">
        <v>159</v>
      </c>
      <c r="B17" s="12" t="s">
        <v>57</v>
      </c>
      <c r="C17" s="25">
        <v>20826</v>
      </c>
      <c r="D17" s="12">
        <f t="shared" si="6"/>
        <v>6</v>
      </c>
      <c r="E17" s="23">
        <f t="shared" si="7"/>
        <v>6</v>
      </c>
      <c r="F17" s="12">
        <f t="shared" si="0"/>
        <v>1957</v>
      </c>
      <c r="G17" s="12">
        <f t="shared" si="8"/>
        <v>1</v>
      </c>
      <c r="H17" s="12">
        <f t="shared" si="9"/>
        <v>6</v>
      </c>
      <c r="I17" s="24">
        <f t="shared" si="10"/>
        <v>20826</v>
      </c>
      <c r="J17" s="12" t="s">
        <v>58</v>
      </c>
      <c r="K17" s="12" t="str">
        <f t="shared" si="1"/>
        <v>Parus major (Linnaeus, 1758)</v>
      </c>
      <c r="L17" s="12" t="str">
        <f t="shared" si="2"/>
        <v>Animalia|Chordata|Aves|Passeriformes|Paridae|Parus</v>
      </c>
      <c r="M17" s="12" t="s">
        <v>59</v>
      </c>
      <c r="N17" s="12" t="s">
        <v>60</v>
      </c>
      <c r="O17" s="12" t="s">
        <v>61</v>
      </c>
      <c r="P17" s="12" t="s">
        <v>62</v>
      </c>
      <c r="Q17" s="12" t="s">
        <v>155</v>
      </c>
      <c r="R17" s="12" t="s">
        <v>156</v>
      </c>
      <c r="S17" s="12" t="s">
        <v>157</v>
      </c>
      <c r="T17" s="12" t="s">
        <v>66</v>
      </c>
      <c r="U17" s="12" t="s">
        <v>158</v>
      </c>
      <c r="V17" s="12" t="s">
        <v>1165</v>
      </c>
      <c r="W17" s="12" t="s">
        <v>68</v>
      </c>
      <c r="X17" s="12">
        <v>44.33014</v>
      </c>
      <c r="Y17" s="12">
        <v>7.4859239999999998</v>
      </c>
      <c r="Z17" s="14" t="s">
        <v>69</v>
      </c>
      <c r="AA17" s="12">
        <v>1929</v>
      </c>
      <c r="AB17" s="12" t="str">
        <f t="shared" si="3"/>
        <v>44.33014/7.485924</v>
      </c>
      <c r="AC17" s="13" t="s">
        <v>1473</v>
      </c>
      <c r="AD17" s="25">
        <v>46054</v>
      </c>
      <c r="AE17" s="14" t="s">
        <v>70</v>
      </c>
      <c r="AF17" s="14" t="s">
        <v>71</v>
      </c>
      <c r="AG17" s="14" t="s">
        <v>72</v>
      </c>
      <c r="AH17" s="12" t="str">
        <f t="shared" si="4"/>
        <v>Europa | Italy | Piedmont | Borgo San Dalmazzo</v>
      </c>
      <c r="AI17" s="12" t="s">
        <v>73</v>
      </c>
      <c r="AJ17" s="12"/>
      <c r="AK17" s="12" t="s">
        <v>74</v>
      </c>
      <c r="AL17" s="12" t="str">
        <f t="shared" si="5"/>
        <v>ITA</v>
      </c>
      <c r="AM17" s="12" t="s">
        <v>90</v>
      </c>
      <c r="AN17" s="12" t="s">
        <v>160</v>
      </c>
      <c r="AO17" s="12" t="s">
        <v>57</v>
      </c>
      <c r="AP17" s="12" t="s">
        <v>77</v>
      </c>
      <c r="AQ17" s="12" t="s">
        <v>78</v>
      </c>
      <c r="AR17" s="12" t="s">
        <v>79</v>
      </c>
      <c r="AS17" s="12" t="s">
        <v>1187</v>
      </c>
      <c r="AT17" s="12" t="s">
        <v>92</v>
      </c>
      <c r="AU17" s="12" t="s">
        <v>159</v>
      </c>
      <c r="AV17" s="12">
        <v>1</v>
      </c>
      <c r="AW17" s="12">
        <v>1</v>
      </c>
      <c r="AX17" s="12" t="s">
        <v>81</v>
      </c>
      <c r="AY17" s="12" t="s">
        <v>82</v>
      </c>
      <c r="AZ17" s="12" t="s">
        <v>83</v>
      </c>
      <c r="BA17" s="12" t="s">
        <v>84</v>
      </c>
      <c r="BB17" s="12"/>
      <c r="BC17" s="27" t="s">
        <v>1519</v>
      </c>
      <c r="BD17" s="27" t="s">
        <v>1520</v>
      </c>
      <c r="BE17" s="12"/>
    </row>
    <row r="18" spans="1:57" x14ac:dyDescent="0.25">
      <c r="A18" s="12" t="s">
        <v>161</v>
      </c>
      <c r="B18" s="12" t="s">
        <v>57</v>
      </c>
      <c r="C18" s="12">
        <v>1896</v>
      </c>
      <c r="D18" s="12"/>
      <c r="E18" s="23"/>
      <c r="F18" s="12">
        <f t="shared" si="0"/>
        <v>1896</v>
      </c>
      <c r="G18" s="12"/>
      <c r="H18" s="12"/>
      <c r="I18" s="24">
        <f t="shared" si="10"/>
        <v>1896</v>
      </c>
      <c r="J18" s="12" t="s">
        <v>58</v>
      </c>
      <c r="K18" s="12" t="str">
        <f t="shared" si="1"/>
        <v>Dendrocopos major (Linnaeus, 1758)</v>
      </c>
      <c r="L18" s="12" t="str">
        <f t="shared" si="2"/>
        <v>Animalia|Chordata|Aves|Piciformes|Picidae|Dendrocopos</v>
      </c>
      <c r="M18" s="12" t="s">
        <v>59</v>
      </c>
      <c r="N18" s="12" t="s">
        <v>60</v>
      </c>
      <c r="O18" s="12" t="s">
        <v>61</v>
      </c>
      <c r="P18" s="12" t="s">
        <v>125</v>
      </c>
      <c r="Q18" s="12" t="s">
        <v>162</v>
      </c>
      <c r="R18" s="12" t="s">
        <v>163</v>
      </c>
      <c r="S18" s="12" t="s">
        <v>157</v>
      </c>
      <c r="T18" s="12" t="s">
        <v>66</v>
      </c>
      <c r="U18" s="12" t="s">
        <v>164</v>
      </c>
      <c r="V18" s="12"/>
      <c r="W18" s="12" t="s">
        <v>68</v>
      </c>
      <c r="X18" s="12">
        <v>41.9</v>
      </c>
      <c r="Y18" s="12">
        <v>12.483333</v>
      </c>
      <c r="Z18" s="14" t="s">
        <v>69</v>
      </c>
      <c r="AA18" s="12">
        <v>36625</v>
      </c>
      <c r="AB18" s="12" t="str">
        <f t="shared" si="3"/>
        <v>41.9/12.483333</v>
      </c>
      <c r="AC18" s="13" t="s">
        <v>1473</v>
      </c>
      <c r="AD18" s="25">
        <v>46054</v>
      </c>
      <c r="AE18" s="14" t="s">
        <v>70</v>
      </c>
      <c r="AF18" s="14" t="s">
        <v>71</v>
      </c>
      <c r="AG18" s="14" t="s">
        <v>72</v>
      </c>
      <c r="AH18" s="12" t="str">
        <f t="shared" si="4"/>
        <v>Europa | Italy | Lazio | Rome</v>
      </c>
      <c r="AI18" s="12" t="s">
        <v>73</v>
      </c>
      <c r="AJ18" s="12"/>
      <c r="AK18" s="12" t="s">
        <v>74</v>
      </c>
      <c r="AL18" s="12" t="str">
        <f t="shared" si="5"/>
        <v>ITA</v>
      </c>
      <c r="AM18" s="12" t="s">
        <v>75</v>
      </c>
      <c r="AN18" s="12" t="s">
        <v>153</v>
      </c>
      <c r="AO18" s="12" t="s">
        <v>57</v>
      </c>
      <c r="AP18" s="12" t="s">
        <v>77</v>
      </c>
      <c r="AQ18" s="12" t="s">
        <v>78</v>
      </c>
      <c r="AR18" s="12" t="s">
        <v>79</v>
      </c>
      <c r="AS18" s="12" t="s">
        <v>1188</v>
      </c>
      <c r="AT18" s="12"/>
      <c r="AU18" s="12" t="s">
        <v>161</v>
      </c>
      <c r="AV18" s="12">
        <v>1</v>
      </c>
      <c r="AW18" s="12">
        <v>1</v>
      </c>
      <c r="AX18" s="12" t="s">
        <v>81</v>
      </c>
      <c r="AY18" s="12" t="s">
        <v>82</v>
      </c>
      <c r="AZ18" s="12" t="s">
        <v>83</v>
      </c>
      <c r="BA18" s="12" t="s">
        <v>84</v>
      </c>
      <c r="BB18" s="12"/>
      <c r="BC18" s="27" t="s">
        <v>1521</v>
      </c>
      <c r="BD18" s="27" t="s">
        <v>1522</v>
      </c>
      <c r="BE18" s="12"/>
    </row>
    <row r="19" spans="1:57" x14ac:dyDescent="0.25">
      <c r="A19" s="12" t="s">
        <v>165</v>
      </c>
      <c r="B19" s="12" t="s">
        <v>57</v>
      </c>
      <c r="C19" s="12">
        <v>1896</v>
      </c>
      <c r="D19" s="12"/>
      <c r="E19" s="23"/>
      <c r="F19" s="12">
        <f t="shared" si="0"/>
        <v>1896</v>
      </c>
      <c r="G19" s="12"/>
      <c r="H19" s="12"/>
      <c r="I19" s="24">
        <f t="shared" si="10"/>
        <v>1896</v>
      </c>
      <c r="J19" s="12" t="s">
        <v>58</v>
      </c>
      <c r="K19" s="12" t="str">
        <f t="shared" si="1"/>
        <v>Dendrocopos major (Linnaeus, 1758)</v>
      </c>
      <c r="L19" s="12" t="str">
        <f t="shared" si="2"/>
        <v>Animalia|Chordata|Aves|Piciformes|Picidae|Dendrocopos</v>
      </c>
      <c r="M19" s="12" t="s">
        <v>59</v>
      </c>
      <c r="N19" s="12" t="s">
        <v>60</v>
      </c>
      <c r="O19" s="12" t="s">
        <v>61</v>
      </c>
      <c r="P19" s="12" t="s">
        <v>125</v>
      </c>
      <c r="Q19" s="12" t="s">
        <v>162</v>
      </c>
      <c r="R19" s="12" t="s">
        <v>163</v>
      </c>
      <c r="S19" s="12" t="s">
        <v>157</v>
      </c>
      <c r="T19" s="12" t="s">
        <v>66</v>
      </c>
      <c r="U19" s="12" t="s">
        <v>164</v>
      </c>
      <c r="V19" s="12"/>
      <c r="W19" s="12" t="s">
        <v>68</v>
      </c>
      <c r="X19" s="12">
        <v>41.869748000000001</v>
      </c>
      <c r="Y19" s="12">
        <v>12.442645000000001</v>
      </c>
      <c r="Z19" s="14" t="s">
        <v>69</v>
      </c>
      <c r="AA19" s="12">
        <v>28880</v>
      </c>
      <c r="AB19" s="12" t="str">
        <f t="shared" si="3"/>
        <v>41.869748/12.442645</v>
      </c>
      <c r="AC19" s="13" t="s">
        <v>1473</v>
      </c>
      <c r="AD19" s="25">
        <v>46054</v>
      </c>
      <c r="AE19" s="14" t="s">
        <v>70</v>
      </c>
      <c r="AF19" s="14" t="s">
        <v>71</v>
      </c>
      <c r="AG19" s="14" t="s">
        <v>72</v>
      </c>
      <c r="AH19" s="12" t="str">
        <f t="shared" si="4"/>
        <v>Europa | Italy | Lazio | Ager Romanus</v>
      </c>
      <c r="AI19" s="12" t="s">
        <v>73</v>
      </c>
      <c r="AJ19" s="12"/>
      <c r="AK19" s="12" t="s">
        <v>74</v>
      </c>
      <c r="AL19" s="12" t="str">
        <f t="shared" si="5"/>
        <v>ITA</v>
      </c>
      <c r="AM19" s="12" t="s">
        <v>75</v>
      </c>
      <c r="AN19" s="12" t="s">
        <v>166</v>
      </c>
      <c r="AO19" s="12" t="s">
        <v>57</v>
      </c>
      <c r="AP19" s="12" t="s">
        <v>77</v>
      </c>
      <c r="AQ19" s="12" t="s">
        <v>78</v>
      </c>
      <c r="AR19" s="12" t="s">
        <v>79</v>
      </c>
      <c r="AS19" s="12" t="s">
        <v>1189</v>
      </c>
      <c r="AT19" s="12" t="s">
        <v>80</v>
      </c>
      <c r="AU19" s="12" t="s">
        <v>165</v>
      </c>
      <c r="AV19" s="12">
        <v>1</v>
      </c>
      <c r="AW19" s="12">
        <v>1</v>
      </c>
      <c r="AX19" s="12" t="s">
        <v>81</v>
      </c>
      <c r="AY19" s="12" t="s">
        <v>82</v>
      </c>
      <c r="AZ19" s="12" t="s">
        <v>83</v>
      </c>
      <c r="BA19" s="12" t="s">
        <v>84</v>
      </c>
      <c r="BB19" s="12"/>
      <c r="BC19" s="27" t="s">
        <v>1523</v>
      </c>
      <c r="BD19" s="27" t="s">
        <v>1524</v>
      </c>
      <c r="BE19" s="12"/>
    </row>
    <row r="20" spans="1:57" x14ac:dyDescent="0.25">
      <c r="A20" s="12" t="s">
        <v>167</v>
      </c>
      <c r="B20" s="12" t="s">
        <v>57</v>
      </c>
      <c r="C20" s="12">
        <v>1978</v>
      </c>
      <c r="D20" s="12"/>
      <c r="E20" s="23"/>
      <c r="F20" s="12">
        <f t="shared" si="0"/>
        <v>1978</v>
      </c>
      <c r="G20" s="12"/>
      <c r="H20" s="12"/>
      <c r="I20" s="24">
        <f t="shared" si="10"/>
        <v>1978</v>
      </c>
      <c r="J20" s="12" t="s">
        <v>58</v>
      </c>
      <c r="K20" s="12" t="str">
        <f t="shared" si="1"/>
        <v>Picus viridis (Linnaeus, 1758)</v>
      </c>
      <c r="L20" s="12" t="str">
        <f t="shared" si="2"/>
        <v>Animalia|Chordata|Aves|Piciformes|Picidae|Picus</v>
      </c>
      <c r="M20" s="12" t="s">
        <v>59</v>
      </c>
      <c r="N20" s="12" t="s">
        <v>60</v>
      </c>
      <c r="O20" s="12" t="s">
        <v>61</v>
      </c>
      <c r="P20" s="12" t="s">
        <v>125</v>
      </c>
      <c r="Q20" s="12" t="s">
        <v>162</v>
      </c>
      <c r="R20" s="12" t="s">
        <v>885</v>
      </c>
      <c r="S20" s="12" t="s">
        <v>168</v>
      </c>
      <c r="T20" s="12" t="s">
        <v>66</v>
      </c>
      <c r="U20" s="12" t="s">
        <v>169</v>
      </c>
      <c r="V20" s="12"/>
      <c r="W20" s="12" t="s">
        <v>68</v>
      </c>
      <c r="X20" s="12">
        <v>41.9</v>
      </c>
      <c r="Y20" s="12">
        <v>12.483333</v>
      </c>
      <c r="Z20" s="14" t="s">
        <v>69</v>
      </c>
      <c r="AA20" s="12">
        <v>36625</v>
      </c>
      <c r="AB20" s="12" t="str">
        <f t="shared" si="3"/>
        <v>41.9/12.483333</v>
      </c>
      <c r="AC20" s="13" t="s">
        <v>1473</v>
      </c>
      <c r="AD20" s="25">
        <v>46054</v>
      </c>
      <c r="AE20" s="14" t="s">
        <v>70</v>
      </c>
      <c r="AF20" s="14" t="s">
        <v>71</v>
      </c>
      <c r="AG20" s="14" t="s">
        <v>72</v>
      </c>
      <c r="AH20" s="12" t="str">
        <f t="shared" si="4"/>
        <v>Europa | Italy | Lazio | Rome</v>
      </c>
      <c r="AI20" s="12" t="s">
        <v>73</v>
      </c>
      <c r="AJ20" s="12"/>
      <c r="AK20" s="12" t="s">
        <v>74</v>
      </c>
      <c r="AL20" s="12" t="str">
        <f t="shared" si="5"/>
        <v>ITA</v>
      </c>
      <c r="AM20" s="12" t="s">
        <v>75</v>
      </c>
      <c r="AN20" s="12" t="s">
        <v>153</v>
      </c>
      <c r="AO20" s="12" t="s">
        <v>57</v>
      </c>
      <c r="AP20" s="12" t="s">
        <v>77</v>
      </c>
      <c r="AQ20" s="12" t="s">
        <v>78</v>
      </c>
      <c r="AR20" s="12" t="s">
        <v>79</v>
      </c>
      <c r="AS20" s="12" t="s">
        <v>1190</v>
      </c>
      <c r="AT20" s="12" t="s">
        <v>80</v>
      </c>
      <c r="AU20" s="12" t="s">
        <v>167</v>
      </c>
      <c r="AV20" s="12">
        <v>1</v>
      </c>
      <c r="AW20" s="12">
        <v>1</v>
      </c>
      <c r="AX20" s="12" t="s">
        <v>81</v>
      </c>
      <c r="AY20" s="12" t="s">
        <v>82</v>
      </c>
      <c r="AZ20" s="12" t="s">
        <v>83</v>
      </c>
      <c r="BA20" s="12" t="s">
        <v>84</v>
      </c>
      <c r="BB20" s="12"/>
      <c r="BC20" s="27" t="s">
        <v>1525</v>
      </c>
      <c r="BD20" s="27" t="s">
        <v>1526</v>
      </c>
      <c r="BE20" s="12"/>
    </row>
    <row r="21" spans="1:57" x14ac:dyDescent="0.25">
      <c r="A21" s="12" t="s">
        <v>170</v>
      </c>
      <c r="B21" s="12" t="s">
        <v>57</v>
      </c>
      <c r="C21" s="12">
        <v>1916</v>
      </c>
      <c r="D21" s="12"/>
      <c r="E21" s="23"/>
      <c r="F21" s="12">
        <f t="shared" si="0"/>
        <v>1916</v>
      </c>
      <c r="G21" s="12"/>
      <c r="H21" s="12"/>
      <c r="I21" s="24">
        <f t="shared" si="10"/>
        <v>1916</v>
      </c>
      <c r="J21" s="12" t="s">
        <v>58</v>
      </c>
      <c r="K21" s="12" t="str">
        <f t="shared" si="1"/>
        <v>Jynx torquilla (Linnaeus, 1758)</v>
      </c>
      <c r="L21" s="12" t="str">
        <f t="shared" si="2"/>
        <v>Animalia|Chordata|Aves|Piciformes|Picidae|Jynx</v>
      </c>
      <c r="M21" s="12" t="s">
        <v>59</v>
      </c>
      <c r="N21" s="12" t="s">
        <v>60</v>
      </c>
      <c r="O21" s="12" t="s">
        <v>61</v>
      </c>
      <c r="P21" s="12" t="s">
        <v>125</v>
      </c>
      <c r="Q21" s="12" t="s">
        <v>162</v>
      </c>
      <c r="R21" s="12" t="s">
        <v>886</v>
      </c>
      <c r="S21" s="12" t="s">
        <v>171</v>
      </c>
      <c r="T21" s="12" t="s">
        <v>66</v>
      </c>
      <c r="U21" s="12" t="s">
        <v>172</v>
      </c>
      <c r="V21" s="12"/>
      <c r="W21" s="12" t="s">
        <v>68</v>
      </c>
      <c r="X21" s="12">
        <v>41</v>
      </c>
      <c r="Y21" s="12">
        <v>12</v>
      </c>
      <c r="Z21" s="14" t="s">
        <v>69</v>
      </c>
      <c r="AA21" s="12">
        <v>100000</v>
      </c>
      <c r="AB21" s="12" t="str">
        <f t="shared" si="3"/>
        <v>41/12</v>
      </c>
      <c r="AC21" s="13" t="s">
        <v>1473</v>
      </c>
      <c r="AD21" s="25">
        <v>46054</v>
      </c>
      <c r="AE21" s="14" t="s">
        <v>70</v>
      </c>
      <c r="AF21" s="14" t="s">
        <v>71</v>
      </c>
      <c r="AG21" s="14" t="s">
        <v>72</v>
      </c>
      <c r="AH21" s="12" t="str">
        <f t="shared" si="4"/>
        <v>Europa | Italy | Lazio</v>
      </c>
      <c r="AI21" s="12" t="s">
        <v>73</v>
      </c>
      <c r="AJ21" s="12"/>
      <c r="AK21" s="12" t="s">
        <v>74</v>
      </c>
      <c r="AL21" s="12" t="str">
        <f t="shared" si="5"/>
        <v>ITA</v>
      </c>
      <c r="AM21" s="12" t="s">
        <v>75</v>
      </c>
      <c r="AN21" s="12"/>
      <c r="AO21" s="12" t="s">
        <v>57</v>
      </c>
      <c r="AP21" s="12" t="s">
        <v>77</v>
      </c>
      <c r="AQ21" s="12" t="s">
        <v>78</v>
      </c>
      <c r="AR21" s="12" t="s">
        <v>79</v>
      </c>
      <c r="AS21" s="12" t="s">
        <v>1191</v>
      </c>
      <c r="AT21" s="12"/>
      <c r="AU21" s="12" t="s">
        <v>170</v>
      </c>
      <c r="AV21" s="12">
        <v>1</v>
      </c>
      <c r="AW21" s="12">
        <v>1</v>
      </c>
      <c r="AX21" s="12" t="s">
        <v>81</v>
      </c>
      <c r="AY21" s="12" t="s">
        <v>82</v>
      </c>
      <c r="AZ21" s="12" t="s">
        <v>83</v>
      </c>
      <c r="BA21" s="12" t="s">
        <v>84</v>
      </c>
      <c r="BB21" s="12"/>
      <c r="BC21" s="27" t="s">
        <v>1527</v>
      </c>
      <c r="BD21" s="27" t="s">
        <v>1528</v>
      </c>
      <c r="BE21" s="12"/>
    </row>
    <row r="22" spans="1:57" x14ac:dyDescent="0.25">
      <c r="A22" s="12" t="s">
        <v>173</v>
      </c>
      <c r="B22" s="12" t="s">
        <v>57</v>
      </c>
      <c r="C22" s="25">
        <v>22207</v>
      </c>
      <c r="D22" s="12">
        <f t="shared" si="6"/>
        <v>292</v>
      </c>
      <c r="E22" s="23">
        <f t="shared" si="7"/>
        <v>292</v>
      </c>
      <c r="F22" s="12">
        <f t="shared" si="0"/>
        <v>1960</v>
      </c>
      <c r="G22" s="12">
        <f t="shared" si="8"/>
        <v>10</v>
      </c>
      <c r="H22" s="12">
        <f t="shared" si="9"/>
        <v>18</v>
      </c>
      <c r="I22" s="24">
        <f t="shared" si="10"/>
        <v>22207</v>
      </c>
      <c r="J22" s="12" t="s">
        <v>58</v>
      </c>
      <c r="K22" s="12" t="str">
        <f t="shared" si="1"/>
        <v>Passer montanus (Linnaeus, 1758)</v>
      </c>
      <c r="L22" s="12" t="str">
        <f t="shared" si="2"/>
        <v>Animalia|Chordata|Aves|Passeriformes|Passeridae|Passer</v>
      </c>
      <c r="M22" s="12" t="s">
        <v>59</v>
      </c>
      <c r="N22" s="12" t="s">
        <v>60</v>
      </c>
      <c r="O22" s="12" t="s">
        <v>61</v>
      </c>
      <c r="P22" s="12" t="s">
        <v>62</v>
      </c>
      <c r="Q22" s="12" t="s">
        <v>146</v>
      </c>
      <c r="R22" s="12" t="s">
        <v>147</v>
      </c>
      <c r="S22" s="12" t="s">
        <v>174</v>
      </c>
      <c r="T22" s="12" t="s">
        <v>66</v>
      </c>
      <c r="U22" s="12" t="s">
        <v>175</v>
      </c>
      <c r="V22" s="12" t="s">
        <v>1167</v>
      </c>
      <c r="W22" s="12" t="s">
        <v>68</v>
      </c>
      <c r="X22" s="12">
        <v>44.33014</v>
      </c>
      <c r="Y22" s="12">
        <v>7.4859239999999998</v>
      </c>
      <c r="Z22" s="14" t="s">
        <v>69</v>
      </c>
      <c r="AA22" s="12">
        <v>1929</v>
      </c>
      <c r="AB22" s="12" t="str">
        <f t="shared" si="3"/>
        <v>44.33014/7.485924</v>
      </c>
      <c r="AC22" s="13" t="s">
        <v>1473</v>
      </c>
      <c r="AD22" s="25">
        <v>46054</v>
      </c>
      <c r="AE22" s="14" t="s">
        <v>70</v>
      </c>
      <c r="AF22" s="14" t="s">
        <v>71</v>
      </c>
      <c r="AG22" s="14" t="s">
        <v>72</v>
      </c>
      <c r="AH22" s="12" t="str">
        <f t="shared" si="4"/>
        <v>Italy | Piedmont | Borgo San Dalmazzo</v>
      </c>
      <c r="AI22" s="12"/>
      <c r="AJ22" s="12"/>
      <c r="AK22" s="12" t="s">
        <v>74</v>
      </c>
      <c r="AL22" s="12" t="str">
        <f t="shared" si="5"/>
        <v>ITA</v>
      </c>
      <c r="AM22" s="12" t="s">
        <v>90</v>
      </c>
      <c r="AN22" s="12" t="s">
        <v>160</v>
      </c>
      <c r="AO22" s="12" t="s">
        <v>57</v>
      </c>
      <c r="AP22" s="12" t="s">
        <v>77</v>
      </c>
      <c r="AQ22" s="12" t="s">
        <v>78</v>
      </c>
      <c r="AR22" s="12" t="s">
        <v>79</v>
      </c>
      <c r="AS22" s="12" t="s">
        <v>1192</v>
      </c>
      <c r="AT22" s="12"/>
      <c r="AU22" s="12" t="s">
        <v>173</v>
      </c>
      <c r="AV22" s="12">
        <v>1</v>
      </c>
      <c r="AW22" s="12">
        <v>1</v>
      </c>
      <c r="AX22" s="12" t="s">
        <v>81</v>
      </c>
      <c r="AY22" s="12" t="s">
        <v>82</v>
      </c>
      <c r="AZ22" s="12" t="s">
        <v>83</v>
      </c>
      <c r="BA22" s="12" t="s">
        <v>84</v>
      </c>
      <c r="BB22" s="12"/>
      <c r="BC22" s="27" t="s">
        <v>1529</v>
      </c>
      <c r="BD22" s="27" t="s">
        <v>1530</v>
      </c>
      <c r="BE22" s="12"/>
    </row>
    <row r="23" spans="1:57" x14ac:dyDescent="0.25">
      <c r="A23" s="12" t="s">
        <v>176</v>
      </c>
      <c r="B23" s="12" t="s">
        <v>57</v>
      </c>
      <c r="C23" s="25">
        <v>21945</v>
      </c>
      <c r="D23" s="12">
        <f t="shared" si="6"/>
        <v>30</v>
      </c>
      <c r="E23" s="23">
        <f t="shared" si="7"/>
        <v>30</v>
      </c>
      <c r="F23" s="12">
        <f t="shared" si="0"/>
        <v>1960</v>
      </c>
      <c r="G23" s="12">
        <f t="shared" si="8"/>
        <v>1</v>
      </c>
      <c r="H23" s="12">
        <f t="shared" si="9"/>
        <v>30</v>
      </c>
      <c r="I23" s="24">
        <f t="shared" si="10"/>
        <v>21945</v>
      </c>
      <c r="J23" s="12" t="s">
        <v>58</v>
      </c>
      <c r="K23" s="12" t="str">
        <f t="shared" si="1"/>
        <v>Erithacus rubecula (Linnaeus, 1758)</v>
      </c>
      <c r="L23" s="12" t="str">
        <f t="shared" si="2"/>
        <v>Animalia|Chordata|Aves|Passeriformes|Muscicapidae|Erithacus</v>
      </c>
      <c r="M23" s="12" t="s">
        <v>59</v>
      </c>
      <c r="N23" s="12" t="s">
        <v>60</v>
      </c>
      <c r="O23" s="12" t="s">
        <v>61</v>
      </c>
      <c r="P23" s="12" t="s">
        <v>62</v>
      </c>
      <c r="Q23" s="12" t="s">
        <v>177</v>
      </c>
      <c r="R23" s="12" t="s">
        <v>887</v>
      </c>
      <c r="S23" s="12" t="s">
        <v>178</v>
      </c>
      <c r="T23" s="12" t="s">
        <v>66</v>
      </c>
      <c r="U23" s="12" t="s">
        <v>179</v>
      </c>
      <c r="V23" s="12" t="s">
        <v>1167</v>
      </c>
      <c r="W23" s="12" t="s">
        <v>68</v>
      </c>
      <c r="X23" s="12">
        <v>41.986651000000002</v>
      </c>
      <c r="Y23" s="12">
        <v>12.934449000000001</v>
      </c>
      <c r="Z23" s="14" t="s">
        <v>69</v>
      </c>
      <c r="AA23" s="12">
        <v>898</v>
      </c>
      <c r="AB23" s="12" t="str">
        <f t="shared" si="3"/>
        <v>41.986651/12.934449</v>
      </c>
      <c r="AC23" s="13" t="s">
        <v>1473</v>
      </c>
      <c r="AD23" s="25">
        <v>46054</v>
      </c>
      <c r="AE23" s="14" t="s">
        <v>70</v>
      </c>
      <c r="AF23" s="14" t="s">
        <v>71</v>
      </c>
      <c r="AG23" s="14" t="s">
        <v>72</v>
      </c>
      <c r="AH23" s="12" t="str">
        <f t="shared" si="4"/>
        <v>Italy | Lazio | Sambuci</v>
      </c>
      <c r="AI23" s="12"/>
      <c r="AJ23" s="12"/>
      <c r="AK23" s="12" t="s">
        <v>74</v>
      </c>
      <c r="AL23" s="12" t="str">
        <f t="shared" si="5"/>
        <v>ITA</v>
      </c>
      <c r="AM23" s="12" t="s">
        <v>75</v>
      </c>
      <c r="AN23" s="12" t="s">
        <v>627</v>
      </c>
      <c r="AO23" s="12" t="s">
        <v>57</v>
      </c>
      <c r="AP23" s="12" t="s">
        <v>77</v>
      </c>
      <c r="AQ23" s="12" t="s">
        <v>78</v>
      </c>
      <c r="AR23" s="12" t="s">
        <v>79</v>
      </c>
      <c r="AS23" s="12" t="s">
        <v>1193</v>
      </c>
      <c r="AT23" s="12"/>
      <c r="AU23" s="12" t="s">
        <v>176</v>
      </c>
      <c r="AV23" s="12">
        <v>1</v>
      </c>
      <c r="AW23" s="12">
        <v>1</v>
      </c>
      <c r="AX23" s="12" t="s">
        <v>81</v>
      </c>
      <c r="AY23" s="12" t="s">
        <v>82</v>
      </c>
      <c r="AZ23" s="12" t="s">
        <v>83</v>
      </c>
      <c r="BA23" s="12" t="s">
        <v>84</v>
      </c>
      <c r="BB23" s="12"/>
      <c r="BC23" s="27" t="s">
        <v>1531</v>
      </c>
      <c r="BD23" s="27" t="s">
        <v>1532</v>
      </c>
      <c r="BE23" s="12"/>
    </row>
    <row r="24" spans="1:57" x14ac:dyDescent="0.25">
      <c r="A24" s="12" t="s">
        <v>180</v>
      </c>
      <c r="B24" s="12" t="s">
        <v>57</v>
      </c>
      <c r="C24" s="25">
        <v>21843</v>
      </c>
      <c r="D24" s="12">
        <f t="shared" si="6"/>
        <v>293</v>
      </c>
      <c r="E24" s="23">
        <f t="shared" si="7"/>
        <v>293</v>
      </c>
      <c r="F24" s="12">
        <f t="shared" si="0"/>
        <v>1959</v>
      </c>
      <c r="G24" s="12">
        <f t="shared" si="8"/>
        <v>10</v>
      </c>
      <c r="H24" s="12">
        <f t="shared" si="9"/>
        <v>20</v>
      </c>
      <c r="I24" s="24">
        <f t="shared" si="10"/>
        <v>21843</v>
      </c>
      <c r="J24" s="12" t="s">
        <v>58</v>
      </c>
      <c r="K24" s="12" t="str">
        <f t="shared" si="1"/>
        <v>Fringilla coelebs (Linnaeus, 1758)</v>
      </c>
      <c r="L24" s="12" t="str">
        <f t="shared" si="2"/>
        <v>Animalia|Chordata|Aves|Passeriformes|Fringillinae|Fringilla</v>
      </c>
      <c r="M24" s="12" t="s">
        <v>59</v>
      </c>
      <c r="N24" s="12" t="s">
        <v>60</v>
      </c>
      <c r="O24" s="12" t="s">
        <v>61</v>
      </c>
      <c r="P24" s="12" t="s">
        <v>62</v>
      </c>
      <c r="Q24" s="12" t="s">
        <v>181</v>
      </c>
      <c r="R24" s="12" t="s">
        <v>888</v>
      </c>
      <c r="S24" s="12" t="s">
        <v>182</v>
      </c>
      <c r="T24" s="12" t="s">
        <v>66</v>
      </c>
      <c r="U24" s="12" t="s">
        <v>183</v>
      </c>
      <c r="V24" s="12" t="s">
        <v>1167</v>
      </c>
      <c r="W24" s="12" t="s">
        <v>68</v>
      </c>
      <c r="X24" s="12">
        <v>41.9</v>
      </c>
      <c r="Y24" s="12">
        <v>12.483333</v>
      </c>
      <c r="Z24" s="14" t="s">
        <v>69</v>
      </c>
      <c r="AA24" s="12">
        <v>36625</v>
      </c>
      <c r="AB24" s="12" t="str">
        <f t="shared" si="3"/>
        <v>41.9/12.483333</v>
      </c>
      <c r="AC24" s="13" t="s">
        <v>1473</v>
      </c>
      <c r="AD24" s="25">
        <v>46054</v>
      </c>
      <c r="AE24" s="14" t="s">
        <v>70</v>
      </c>
      <c r="AF24" s="14" t="s">
        <v>71</v>
      </c>
      <c r="AG24" s="14" t="s">
        <v>72</v>
      </c>
      <c r="AH24" s="12" t="str">
        <f t="shared" si="4"/>
        <v>Europa | Italy | Lazio | Rome</v>
      </c>
      <c r="AI24" s="12" t="s">
        <v>73</v>
      </c>
      <c r="AJ24" s="12"/>
      <c r="AK24" s="12" t="s">
        <v>74</v>
      </c>
      <c r="AL24" s="12" t="str">
        <f t="shared" si="5"/>
        <v>ITA</v>
      </c>
      <c r="AM24" s="12" t="s">
        <v>75</v>
      </c>
      <c r="AN24" s="12" t="s">
        <v>153</v>
      </c>
      <c r="AO24" s="12" t="s">
        <v>57</v>
      </c>
      <c r="AP24" s="12" t="s">
        <v>77</v>
      </c>
      <c r="AQ24" s="12" t="s">
        <v>78</v>
      </c>
      <c r="AR24" s="12" t="s">
        <v>79</v>
      </c>
      <c r="AS24" s="12" t="s">
        <v>1194</v>
      </c>
      <c r="AT24" s="12" t="s">
        <v>80</v>
      </c>
      <c r="AU24" s="12" t="s">
        <v>180</v>
      </c>
      <c r="AV24" s="12">
        <v>1</v>
      </c>
      <c r="AW24" s="12">
        <v>1</v>
      </c>
      <c r="AX24" s="12" t="s">
        <v>81</v>
      </c>
      <c r="AY24" s="12" t="s">
        <v>82</v>
      </c>
      <c r="AZ24" s="12" t="s">
        <v>83</v>
      </c>
      <c r="BA24" s="12" t="s">
        <v>84</v>
      </c>
      <c r="BB24" s="12"/>
      <c r="BC24" s="27" t="s">
        <v>1533</v>
      </c>
      <c r="BD24" s="27" t="s">
        <v>1534</v>
      </c>
      <c r="BE24" s="12"/>
    </row>
    <row r="25" spans="1:57" x14ac:dyDescent="0.25">
      <c r="A25" s="12" t="s">
        <v>184</v>
      </c>
      <c r="B25" s="12" t="s">
        <v>57</v>
      </c>
      <c r="C25" s="12">
        <v>1886</v>
      </c>
      <c r="D25" s="12"/>
      <c r="E25" s="23"/>
      <c r="F25" s="12">
        <f t="shared" si="0"/>
        <v>1886</v>
      </c>
      <c r="G25" s="12"/>
      <c r="H25" s="12"/>
      <c r="I25" s="24">
        <f t="shared" si="10"/>
        <v>1886</v>
      </c>
      <c r="J25" s="12" t="s">
        <v>58</v>
      </c>
      <c r="K25" s="12" t="str">
        <f t="shared" si="1"/>
        <v>Oriolus oriolus (Linnaeus, 1758)</v>
      </c>
      <c r="L25" s="12" t="str">
        <f t="shared" si="2"/>
        <v>Animalia|Chordata|Aves|Passeriformes|Oriolidae|Oriolus</v>
      </c>
      <c r="M25" s="12" t="s">
        <v>59</v>
      </c>
      <c r="N25" s="12" t="s">
        <v>60</v>
      </c>
      <c r="O25" s="12" t="s">
        <v>61</v>
      </c>
      <c r="P25" s="12" t="s">
        <v>62</v>
      </c>
      <c r="Q25" s="12" t="s">
        <v>185</v>
      </c>
      <c r="R25" s="12" t="s">
        <v>889</v>
      </c>
      <c r="S25" s="12" t="s">
        <v>186</v>
      </c>
      <c r="T25" s="12" t="s">
        <v>66</v>
      </c>
      <c r="U25" s="12" t="s">
        <v>187</v>
      </c>
      <c r="V25" s="12"/>
      <c r="W25" s="12" t="s">
        <v>68</v>
      </c>
      <c r="X25" s="12">
        <v>41.9</v>
      </c>
      <c r="Y25" s="12">
        <v>12.483333</v>
      </c>
      <c r="Z25" s="14" t="s">
        <v>69</v>
      </c>
      <c r="AA25" s="12">
        <v>36625</v>
      </c>
      <c r="AB25" s="12" t="str">
        <f t="shared" si="3"/>
        <v>41.9/12.483333</v>
      </c>
      <c r="AC25" s="13" t="s">
        <v>1473</v>
      </c>
      <c r="AD25" s="25">
        <v>46054</v>
      </c>
      <c r="AE25" s="14" t="s">
        <v>70</v>
      </c>
      <c r="AF25" s="14" t="s">
        <v>71</v>
      </c>
      <c r="AG25" s="14" t="s">
        <v>72</v>
      </c>
      <c r="AH25" s="12" t="str">
        <f t="shared" si="4"/>
        <v>Europa | Italy | Lazio | Rome</v>
      </c>
      <c r="AI25" s="12" t="s">
        <v>73</v>
      </c>
      <c r="AJ25" s="12"/>
      <c r="AK25" s="12" t="s">
        <v>74</v>
      </c>
      <c r="AL25" s="12" t="str">
        <f t="shared" si="5"/>
        <v>ITA</v>
      </c>
      <c r="AM25" s="12" t="s">
        <v>75</v>
      </c>
      <c r="AN25" s="12" t="s">
        <v>153</v>
      </c>
      <c r="AO25" s="12" t="s">
        <v>57</v>
      </c>
      <c r="AP25" s="12" t="s">
        <v>77</v>
      </c>
      <c r="AQ25" s="12" t="s">
        <v>78</v>
      </c>
      <c r="AR25" s="12" t="s">
        <v>79</v>
      </c>
      <c r="AS25" s="12" t="s">
        <v>1195</v>
      </c>
      <c r="AT25" s="12"/>
      <c r="AU25" s="12" t="s">
        <v>184</v>
      </c>
      <c r="AV25" s="12">
        <v>1</v>
      </c>
      <c r="AW25" s="12">
        <v>1</v>
      </c>
      <c r="AX25" s="12" t="s">
        <v>81</v>
      </c>
      <c r="AY25" s="12" t="s">
        <v>82</v>
      </c>
      <c r="AZ25" s="12" t="s">
        <v>83</v>
      </c>
      <c r="BA25" s="12" t="s">
        <v>84</v>
      </c>
      <c r="BB25" s="12"/>
      <c r="BC25" s="27" t="s">
        <v>1535</v>
      </c>
      <c r="BD25" s="27" t="s">
        <v>1536</v>
      </c>
      <c r="BE25" s="12"/>
    </row>
    <row r="26" spans="1:57" x14ac:dyDescent="0.25">
      <c r="A26" s="12" t="s">
        <v>188</v>
      </c>
      <c r="B26" s="12" t="s">
        <v>57</v>
      </c>
      <c r="C26" s="25">
        <v>21162</v>
      </c>
      <c r="D26" s="12">
        <f t="shared" si="6"/>
        <v>342</v>
      </c>
      <c r="E26" s="23">
        <f t="shared" si="7"/>
        <v>342</v>
      </c>
      <c r="F26" s="12">
        <f t="shared" si="0"/>
        <v>1957</v>
      </c>
      <c r="G26" s="12">
        <f t="shared" si="8"/>
        <v>12</v>
      </c>
      <c r="H26" s="12">
        <f t="shared" si="9"/>
        <v>8</v>
      </c>
      <c r="I26" s="24">
        <f t="shared" si="10"/>
        <v>21162</v>
      </c>
      <c r="J26" s="12" t="s">
        <v>58</v>
      </c>
      <c r="K26" s="12" t="str">
        <f t="shared" si="1"/>
        <v>Buteo buteo (Linnaeus, 1758)</v>
      </c>
      <c r="L26" s="12" t="str">
        <f t="shared" si="2"/>
        <v>Animalia|Chordata|Aves|Accipitriformes|Accipitridae|Buteo</v>
      </c>
      <c r="M26" s="12" t="s">
        <v>59</v>
      </c>
      <c r="N26" s="12" t="s">
        <v>60</v>
      </c>
      <c r="O26" s="12" t="s">
        <v>61</v>
      </c>
      <c r="P26" s="12" t="s">
        <v>189</v>
      </c>
      <c r="Q26" s="12" t="s">
        <v>190</v>
      </c>
      <c r="R26" s="12" t="s">
        <v>890</v>
      </c>
      <c r="S26" s="12" t="s">
        <v>191</v>
      </c>
      <c r="T26" s="12" t="s">
        <v>66</v>
      </c>
      <c r="U26" s="12" t="s">
        <v>192</v>
      </c>
      <c r="V26" s="12" t="s">
        <v>1165</v>
      </c>
      <c r="W26" s="12" t="s">
        <v>68</v>
      </c>
      <c r="X26" s="12">
        <v>44.244098000000001</v>
      </c>
      <c r="Y26" s="12">
        <v>7.5349640000000004</v>
      </c>
      <c r="Z26" s="14" t="s">
        <v>69</v>
      </c>
      <c r="AA26" s="12">
        <v>853</v>
      </c>
      <c r="AB26" s="12" t="str">
        <f t="shared" si="3"/>
        <v>44.244098/7.534964</v>
      </c>
      <c r="AC26" s="13" t="s">
        <v>1473</v>
      </c>
      <c r="AD26" s="25">
        <v>46054</v>
      </c>
      <c r="AE26" s="14" t="s">
        <v>70</v>
      </c>
      <c r="AF26" s="14" t="s">
        <v>71</v>
      </c>
      <c r="AG26" s="14" t="s">
        <v>72</v>
      </c>
      <c r="AH26" s="12" t="str">
        <f t="shared" si="4"/>
        <v>Europa | Italy | Piedmont | Vernante</v>
      </c>
      <c r="AI26" s="12" t="s">
        <v>73</v>
      </c>
      <c r="AJ26" s="12"/>
      <c r="AK26" s="12" t="s">
        <v>74</v>
      </c>
      <c r="AL26" s="12" t="str">
        <f t="shared" si="5"/>
        <v>ITA</v>
      </c>
      <c r="AM26" s="12" t="s">
        <v>90</v>
      </c>
      <c r="AN26" s="12" t="s">
        <v>193</v>
      </c>
      <c r="AO26" s="12" t="s">
        <v>57</v>
      </c>
      <c r="AP26" s="12" t="s">
        <v>77</v>
      </c>
      <c r="AQ26" s="12" t="s">
        <v>78</v>
      </c>
      <c r="AR26" s="12" t="s">
        <v>79</v>
      </c>
      <c r="AS26" s="12" t="s">
        <v>1196</v>
      </c>
      <c r="AT26" s="12" t="s">
        <v>80</v>
      </c>
      <c r="AU26" s="12" t="s">
        <v>188</v>
      </c>
      <c r="AV26" s="12">
        <v>1</v>
      </c>
      <c r="AW26" s="12">
        <v>1</v>
      </c>
      <c r="AX26" s="12" t="s">
        <v>81</v>
      </c>
      <c r="AY26" s="12" t="s">
        <v>82</v>
      </c>
      <c r="AZ26" s="12" t="s">
        <v>83</v>
      </c>
      <c r="BA26" s="12" t="s">
        <v>84</v>
      </c>
      <c r="BB26" s="12"/>
      <c r="BC26" s="27" t="s">
        <v>1537</v>
      </c>
      <c r="BD26" s="27" t="s">
        <v>1538</v>
      </c>
      <c r="BE26" s="12"/>
    </row>
    <row r="27" spans="1:57" x14ac:dyDescent="0.25">
      <c r="A27" s="12" t="s">
        <v>194</v>
      </c>
      <c r="B27" s="12" t="s">
        <v>57</v>
      </c>
      <c r="C27" s="25">
        <v>22204</v>
      </c>
      <c r="D27" s="12">
        <f t="shared" si="6"/>
        <v>289</v>
      </c>
      <c r="E27" s="23">
        <f t="shared" si="7"/>
        <v>289</v>
      </c>
      <c r="F27" s="12">
        <f t="shared" si="0"/>
        <v>1960</v>
      </c>
      <c r="G27" s="12">
        <f t="shared" si="8"/>
        <v>10</v>
      </c>
      <c r="H27" s="12">
        <f t="shared" si="9"/>
        <v>15</v>
      </c>
      <c r="I27" s="24">
        <f t="shared" si="10"/>
        <v>22204</v>
      </c>
      <c r="J27" s="12" t="s">
        <v>58</v>
      </c>
      <c r="K27" s="12" t="str">
        <f t="shared" si="1"/>
        <v>Pernis apivorus (Linnaeus, 1758)</v>
      </c>
      <c r="L27" s="12" t="str">
        <f t="shared" si="2"/>
        <v>Animalia|Chordata|Aves|Accipitriformes|Accipitridae|Pernis</v>
      </c>
      <c r="M27" s="12" t="s">
        <v>59</v>
      </c>
      <c r="N27" s="12" t="s">
        <v>60</v>
      </c>
      <c r="O27" s="12" t="s">
        <v>61</v>
      </c>
      <c r="P27" s="12" t="s">
        <v>189</v>
      </c>
      <c r="Q27" s="12" t="s">
        <v>190</v>
      </c>
      <c r="R27" s="12" t="s">
        <v>891</v>
      </c>
      <c r="S27" s="12" t="s">
        <v>195</v>
      </c>
      <c r="T27" s="12" t="s">
        <v>66</v>
      </c>
      <c r="U27" s="12" t="s">
        <v>196</v>
      </c>
      <c r="V27" s="12"/>
      <c r="W27" s="12" t="s">
        <v>68</v>
      </c>
      <c r="X27" s="12">
        <v>41.9</v>
      </c>
      <c r="Y27" s="12">
        <v>12.483333</v>
      </c>
      <c r="Z27" s="14" t="s">
        <v>69</v>
      </c>
      <c r="AA27" s="12">
        <v>1470</v>
      </c>
      <c r="AB27" s="12" t="str">
        <f t="shared" si="3"/>
        <v>41.9/12.483333</v>
      </c>
      <c r="AC27" s="13" t="s">
        <v>1473</v>
      </c>
      <c r="AD27" s="25">
        <v>46054</v>
      </c>
      <c r="AE27" s="14" t="s">
        <v>70</v>
      </c>
      <c r="AF27" s="14" t="s">
        <v>71</v>
      </c>
      <c r="AG27" s="14" t="s">
        <v>72</v>
      </c>
      <c r="AH27" s="12" t="str">
        <f t="shared" si="4"/>
        <v>Europa | Italy | Lazio | Rome</v>
      </c>
      <c r="AI27" s="12" t="s">
        <v>73</v>
      </c>
      <c r="AJ27" s="12"/>
      <c r="AK27" s="12" t="s">
        <v>74</v>
      </c>
      <c r="AL27" s="12" t="str">
        <f t="shared" si="5"/>
        <v>ITA</v>
      </c>
      <c r="AM27" s="12" t="s">
        <v>75</v>
      </c>
      <c r="AN27" s="12" t="s">
        <v>153</v>
      </c>
      <c r="AO27" s="12" t="s">
        <v>57</v>
      </c>
      <c r="AP27" s="12" t="s">
        <v>77</v>
      </c>
      <c r="AQ27" s="12" t="s">
        <v>78</v>
      </c>
      <c r="AR27" s="12" t="s">
        <v>79</v>
      </c>
      <c r="AS27" s="12" t="s">
        <v>1197</v>
      </c>
      <c r="AT27" s="12"/>
      <c r="AU27" s="12" t="s">
        <v>194</v>
      </c>
      <c r="AV27" s="12">
        <v>1</v>
      </c>
      <c r="AW27" s="12">
        <v>1</v>
      </c>
      <c r="AX27" s="12" t="s">
        <v>81</v>
      </c>
      <c r="AY27" s="12" t="s">
        <v>82</v>
      </c>
      <c r="AZ27" s="12" t="s">
        <v>83</v>
      </c>
      <c r="BA27" s="12" t="s">
        <v>84</v>
      </c>
      <c r="BB27" s="12"/>
      <c r="BC27" s="27" t="s">
        <v>1539</v>
      </c>
      <c r="BD27" s="27" t="s">
        <v>1540</v>
      </c>
      <c r="BE27" s="12"/>
    </row>
    <row r="28" spans="1:57" x14ac:dyDescent="0.25">
      <c r="A28" s="12" t="s">
        <v>197</v>
      </c>
      <c r="B28" s="12" t="s">
        <v>57</v>
      </c>
      <c r="C28" s="12">
        <v>1956</v>
      </c>
      <c r="D28" s="12"/>
      <c r="E28" s="23"/>
      <c r="F28" s="12">
        <f t="shared" si="0"/>
        <v>1956</v>
      </c>
      <c r="G28" s="12"/>
      <c r="H28" s="12"/>
      <c r="I28" s="24">
        <f t="shared" si="10"/>
        <v>1956</v>
      </c>
      <c r="J28" s="12" t="s">
        <v>58</v>
      </c>
      <c r="K28" s="12" t="str">
        <f t="shared" si="1"/>
        <v>Circus aeruginosus (Linnaeus, 1758)</v>
      </c>
      <c r="L28" s="12" t="str">
        <f t="shared" si="2"/>
        <v>Animalia|Chordata|Aves|Accipitriformes|Accipitridae|Circus</v>
      </c>
      <c r="M28" s="12" t="s">
        <v>59</v>
      </c>
      <c r="N28" s="12" t="s">
        <v>60</v>
      </c>
      <c r="O28" s="12" t="s">
        <v>61</v>
      </c>
      <c r="P28" s="12" t="s">
        <v>189</v>
      </c>
      <c r="Q28" s="12" t="s">
        <v>190</v>
      </c>
      <c r="R28" s="12" t="s">
        <v>892</v>
      </c>
      <c r="S28" s="12" t="s">
        <v>198</v>
      </c>
      <c r="T28" s="12" t="s">
        <v>66</v>
      </c>
      <c r="U28" s="12" t="s">
        <v>199</v>
      </c>
      <c r="V28" s="12"/>
      <c r="W28" s="12" t="s">
        <v>68</v>
      </c>
      <c r="X28" s="12">
        <v>45.419428000000003</v>
      </c>
      <c r="Y28" s="12">
        <v>11.792116999999999</v>
      </c>
      <c r="Z28" s="14" t="s">
        <v>69</v>
      </c>
      <c r="AA28" s="12">
        <v>14488</v>
      </c>
      <c r="AB28" s="12" t="str">
        <f t="shared" si="3"/>
        <v>45.419428/11.792117</v>
      </c>
      <c r="AC28" s="13" t="s">
        <v>1473</v>
      </c>
      <c r="AD28" s="25">
        <v>46054</v>
      </c>
      <c r="AE28" s="14" t="s">
        <v>70</v>
      </c>
      <c r="AF28" s="14" t="s">
        <v>71</v>
      </c>
      <c r="AG28" s="14" t="s">
        <v>72</v>
      </c>
      <c r="AH28" s="12" t="str">
        <f t="shared" si="4"/>
        <v>Europa | Italy | Veneto | Selvazzano</v>
      </c>
      <c r="AI28" s="12" t="s">
        <v>73</v>
      </c>
      <c r="AJ28" s="12"/>
      <c r="AK28" s="12" t="s">
        <v>74</v>
      </c>
      <c r="AL28" s="12" t="str">
        <f t="shared" si="5"/>
        <v>ITA</v>
      </c>
      <c r="AM28" s="12" t="s">
        <v>150</v>
      </c>
      <c r="AN28" s="12" t="s">
        <v>200</v>
      </c>
      <c r="AO28" s="12" t="s">
        <v>57</v>
      </c>
      <c r="AP28" s="12" t="s">
        <v>77</v>
      </c>
      <c r="AQ28" s="12" t="s">
        <v>78</v>
      </c>
      <c r="AR28" s="12" t="s">
        <v>79</v>
      </c>
      <c r="AS28" s="12" t="s">
        <v>1198</v>
      </c>
      <c r="AT28" s="12" t="s">
        <v>92</v>
      </c>
      <c r="AU28" s="12" t="s">
        <v>197</v>
      </c>
      <c r="AV28" s="12">
        <v>1</v>
      </c>
      <c r="AW28" s="12">
        <v>1</v>
      </c>
      <c r="AX28" s="12" t="s">
        <v>81</v>
      </c>
      <c r="AY28" s="12" t="s">
        <v>82</v>
      </c>
      <c r="AZ28" s="12" t="s">
        <v>83</v>
      </c>
      <c r="BA28" s="12" t="s">
        <v>84</v>
      </c>
      <c r="BB28" s="12"/>
      <c r="BC28" s="27" t="s">
        <v>1541</v>
      </c>
      <c r="BD28" s="27" t="s">
        <v>1542</v>
      </c>
      <c r="BE28" s="12"/>
    </row>
    <row r="29" spans="1:57" x14ac:dyDescent="0.25">
      <c r="A29" s="12" t="s">
        <v>201</v>
      </c>
      <c r="B29" s="12" t="s">
        <v>57</v>
      </c>
      <c r="C29" s="25">
        <v>21087</v>
      </c>
      <c r="D29" s="12">
        <f t="shared" si="6"/>
        <v>267</v>
      </c>
      <c r="E29" s="23">
        <f t="shared" si="7"/>
        <v>267</v>
      </c>
      <c r="F29" s="12">
        <f t="shared" si="0"/>
        <v>1957</v>
      </c>
      <c r="G29" s="12">
        <f t="shared" si="8"/>
        <v>9</v>
      </c>
      <c r="H29" s="12">
        <f t="shared" si="9"/>
        <v>24</v>
      </c>
      <c r="I29" s="24">
        <f t="shared" si="10"/>
        <v>21087</v>
      </c>
      <c r="J29" s="12" t="s">
        <v>58</v>
      </c>
      <c r="K29" s="12" t="str">
        <f t="shared" si="1"/>
        <v>Falco tinnunculus (Linnaeus, 1758)</v>
      </c>
      <c r="L29" s="12" t="str">
        <f t="shared" si="2"/>
        <v>Animalia|Chordata|Aves|Falconiformes|Falconidae|Falco</v>
      </c>
      <c r="M29" s="12" t="s">
        <v>59</v>
      </c>
      <c r="N29" s="12" t="s">
        <v>60</v>
      </c>
      <c r="O29" s="12" t="s">
        <v>61</v>
      </c>
      <c r="P29" s="12" t="s">
        <v>202</v>
      </c>
      <c r="Q29" s="14" t="s">
        <v>203</v>
      </c>
      <c r="R29" s="12" t="s">
        <v>893</v>
      </c>
      <c r="S29" s="12" t="s">
        <v>204</v>
      </c>
      <c r="T29" s="12" t="s">
        <v>66</v>
      </c>
      <c r="U29" s="12" t="s">
        <v>205</v>
      </c>
      <c r="V29" s="12" t="s">
        <v>1165</v>
      </c>
      <c r="W29" s="12" t="s">
        <v>68</v>
      </c>
      <c r="X29" s="12">
        <v>45.388095</v>
      </c>
      <c r="Y29" s="12">
        <v>11.794121000000001</v>
      </c>
      <c r="Z29" s="14" t="s">
        <v>69</v>
      </c>
      <c r="AA29" s="12">
        <v>1509</v>
      </c>
      <c r="AB29" s="12" t="str">
        <f t="shared" si="3"/>
        <v>45.388095/11.794121</v>
      </c>
      <c r="AC29" s="13" t="s">
        <v>1473</v>
      </c>
      <c r="AD29" s="25">
        <v>46054</v>
      </c>
      <c r="AE29" s="14" t="s">
        <v>70</v>
      </c>
      <c r="AF29" s="14" t="s">
        <v>71</v>
      </c>
      <c r="AG29" s="14" t="s">
        <v>72</v>
      </c>
      <c r="AH29" s="12" t="str">
        <f t="shared" si="4"/>
        <v>Europa | Italy | Piedmont | Cuneo</v>
      </c>
      <c r="AI29" s="12" t="s">
        <v>73</v>
      </c>
      <c r="AJ29" s="12"/>
      <c r="AK29" s="12" t="s">
        <v>74</v>
      </c>
      <c r="AL29" s="12" t="str">
        <f t="shared" si="5"/>
        <v>ITA</v>
      </c>
      <c r="AM29" s="12" t="s">
        <v>90</v>
      </c>
      <c r="AN29" s="12" t="s">
        <v>206</v>
      </c>
      <c r="AO29" s="12" t="s">
        <v>57</v>
      </c>
      <c r="AP29" s="12" t="s">
        <v>77</v>
      </c>
      <c r="AQ29" s="12" t="s">
        <v>78</v>
      </c>
      <c r="AR29" s="12" t="s">
        <v>79</v>
      </c>
      <c r="AS29" s="12" t="s">
        <v>1199</v>
      </c>
      <c r="AT29" s="12" t="s">
        <v>92</v>
      </c>
      <c r="AU29" s="12" t="s">
        <v>201</v>
      </c>
      <c r="AV29" s="12">
        <v>1</v>
      </c>
      <c r="AW29" s="12">
        <v>1</v>
      </c>
      <c r="AX29" s="12" t="s">
        <v>81</v>
      </c>
      <c r="AY29" s="12" t="s">
        <v>82</v>
      </c>
      <c r="AZ29" s="12" t="s">
        <v>83</v>
      </c>
      <c r="BA29" s="12" t="s">
        <v>84</v>
      </c>
      <c r="BB29" s="12"/>
      <c r="BC29" s="27" t="s">
        <v>1543</v>
      </c>
      <c r="BD29" s="27" t="s">
        <v>1544</v>
      </c>
      <c r="BE29" s="12"/>
    </row>
    <row r="30" spans="1:57" x14ac:dyDescent="0.25">
      <c r="A30" s="12" t="s">
        <v>207</v>
      </c>
      <c r="B30" s="12" t="s">
        <v>57</v>
      </c>
      <c r="C30" s="25">
        <v>21655</v>
      </c>
      <c r="D30" s="12">
        <f t="shared" si="6"/>
        <v>105</v>
      </c>
      <c r="E30" s="23">
        <f t="shared" si="7"/>
        <v>105</v>
      </c>
      <c r="F30" s="12">
        <f t="shared" si="0"/>
        <v>1959</v>
      </c>
      <c r="G30" s="12">
        <f t="shared" si="8"/>
        <v>4</v>
      </c>
      <c r="H30" s="12">
        <f t="shared" si="9"/>
        <v>15</v>
      </c>
      <c r="I30" s="24">
        <f t="shared" si="10"/>
        <v>21655</v>
      </c>
      <c r="J30" s="12" t="s">
        <v>58</v>
      </c>
      <c r="K30" s="12" t="str">
        <f t="shared" si="1"/>
        <v>Falco tinnunculus (Linnaeus, 1758)</v>
      </c>
      <c r="L30" s="12" t="str">
        <f t="shared" si="2"/>
        <v>Animalia|Chordata|Aves|Falconiformes|Falconidae|Falco</v>
      </c>
      <c r="M30" s="12" t="s">
        <v>59</v>
      </c>
      <c r="N30" s="12" t="s">
        <v>60</v>
      </c>
      <c r="O30" s="12" t="s">
        <v>61</v>
      </c>
      <c r="P30" s="12" t="s">
        <v>202</v>
      </c>
      <c r="Q30" s="14" t="s">
        <v>203</v>
      </c>
      <c r="R30" s="12" t="s">
        <v>893</v>
      </c>
      <c r="S30" s="12" t="s">
        <v>204</v>
      </c>
      <c r="T30" s="12" t="s">
        <v>66</v>
      </c>
      <c r="U30" s="12" t="s">
        <v>205</v>
      </c>
      <c r="V30" s="12" t="s">
        <v>1165</v>
      </c>
      <c r="W30" s="12" t="s">
        <v>68</v>
      </c>
      <c r="X30" s="12">
        <v>44.200369000000002</v>
      </c>
      <c r="Y30" s="12">
        <v>7.5717309999999998</v>
      </c>
      <c r="Z30" s="14" t="s">
        <v>69</v>
      </c>
      <c r="AA30" s="12">
        <v>1470</v>
      </c>
      <c r="AB30" s="12" t="str">
        <f t="shared" si="3"/>
        <v>44.200369/7.571731</v>
      </c>
      <c r="AC30" s="13" t="s">
        <v>1473</v>
      </c>
      <c r="AD30" s="25">
        <v>46054</v>
      </c>
      <c r="AE30" s="14" t="s">
        <v>70</v>
      </c>
      <c r="AF30" s="14" t="s">
        <v>71</v>
      </c>
      <c r="AG30" s="14" t="s">
        <v>72</v>
      </c>
      <c r="AH30" s="12" t="str">
        <f t="shared" si="4"/>
        <v>Europa | Italy | Piedmont | Limone Piemonte</v>
      </c>
      <c r="AI30" s="12" t="s">
        <v>73</v>
      </c>
      <c r="AJ30" s="12"/>
      <c r="AK30" s="12" t="s">
        <v>74</v>
      </c>
      <c r="AL30" s="12" t="str">
        <f t="shared" si="5"/>
        <v>ITA</v>
      </c>
      <c r="AM30" s="12" t="s">
        <v>90</v>
      </c>
      <c r="AN30" s="12" t="s">
        <v>91</v>
      </c>
      <c r="AO30" s="12" t="s">
        <v>57</v>
      </c>
      <c r="AP30" s="12" t="s">
        <v>77</v>
      </c>
      <c r="AQ30" s="12" t="s">
        <v>78</v>
      </c>
      <c r="AR30" s="12" t="s">
        <v>79</v>
      </c>
      <c r="AS30" s="12" t="s">
        <v>1200</v>
      </c>
      <c r="AT30" s="12" t="s">
        <v>80</v>
      </c>
      <c r="AU30" s="12" t="s">
        <v>207</v>
      </c>
      <c r="AV30" s="12">
        <v>1</v>
      </c>
      <c r="AW30" s="12">
        <v>1</v>
      </c>
      <c r="AX30" s="12" t="s">
        <v>81</v>
      </c>
      <c r="AY30" s="12" t="s">
        <v>82</v>
      </c>
      <c r="AZ30" s="12" t="s">
        <v>83</v>
      </c>
      <c r="BA30" s="12" t="s">
        <v>84</v>
      </c>
      <c r="BB30" s="12"/>
      <c r="BC30" s="27" t="s">
        <v>1545</v>
      </c>
      <c r="BD30" s="27" t="s">
        <v>1546</v>
      </c>
      <c r="BE30" s="12"/>
    </row>
    <row r="31" spans="1:57" x14ac:dyDescent="0.25">
      <c r="A31" s="12" t="s">
        <v>208</v>
      </c>
      <c r="B31" s="12" t="s">
        <v>57</v>
      </c>
      <c r="C31" s="25">
        <v>21150</v>
      </c>
      <c r="D31" s="12">
        <f t="shared" si="6"/>
        <v>330</v>
      </c>
      <c r="E31" s="23">
        <f t="shared" si="7"/>
        <v>330</v>
      </c>
      <c r="F31" s="12">
        <f t="shared" si="0"/>
        <v>1957</v>
      </c>
      <c r="G31" s="12">
        <f t="shared" si="8"/>
        <v>11</v>
      </c>
      <c r="H31" s="12">
        <f t="shared" si="9"/>
        <v>26</v>
      </c>
      <c r="I31" s="24">
        <f t="shared" si="10"/>
        <v>21150</v>
      </c>
      <c r="J31" s="12" t="s">
        <v>58</v>
      </c>
      <c r="K31" s="12" t="str">
        <f t="shared" si="1"/>
        <v>Accipiter nisus (Linnaeus, 1758)</v>
      </c>
      <c r="L31" s="12" t="str">
        <f t="shared" si="2"/>
        <v>Animalia|Chordata|Aves|Accipitriformes|Accipitridae|Accipiter</v>
      </c>
      <c r="M31" s="12" t="s">
        <v>59</v>
      </c>
      <c r="N31" s="12" t="s">
        <v>60</v>
      </c>
      <c r="O31" s="12" t="s">
        <v>61</v>
      </c>
      <c r="P31" s="12" t="s">
        <v>189</v>
      </c>
      <c r="Q31" s="12" t="s">
        <v>190</v>
      </c>
      <c r="R31" s="12" t="s">
        <v>894</v>
      </c>
      <c r="S31" s="12" t="s">
        <v>209</v>
      </c>
      <c r="T31" s="12" t="s">
        <v>66</v>
      </c>
      <c r="U31" s="12" t="s">
        <v>210</v>
      </c>
      <c r="V31" s="12" t="s">
        <v>1165</v>
      </c>
      <c r="W31" s="12" t="s">
        <v>68</v>
      </c>
      <c r="X31" s="12">
        <v>44.33014</v>
      </c>
      <c r="Y31" s="12">
        <v>7.4859239999999998</v>
      </c>
      <c r="Z31" s="14" t="s">
        <v>69</v>
      </c>
      <c r="AA31" s="12">
        <v>1929</v>
      </c>
      <c r="AB31" s="12" t="str">
        <f t="shared" si="3"/>
        <v>44.33014/7.485924</v>
      </c>
      <c r="AC31" s="13" t="s">
        <v>1473</v>
      </c>
      <c r="AD31" s="25">
        <v>46054</v>
      </c>
      <c r="AE31" s="14" t="s">
        <v>70</v>
      </c>
      <c r="AF31" s="14" t="s">
        <v>71</v>
      </c>
      <c r="AG31" s="14" t="s">
        <v>72</v>
      </c>
      <c r="AH31" s="12" t="str">
        <f t="shared" si="4"/>
        <v>Europa | Italy | Piedmont | Borgo San Dalmazzo</v>
      </c>
      <c r="AI31" s="12" t="s">
        <v>73</v>
      </c>
      <c r="AJ31" s="12"/>
      <c r="AK31" s="12" t="s">
        <v>74</v>
      </c>
      <c r="AL31" s="12" t="str">
        <f t="shared" si="5"/>
        <v>ITA</v>
      </c>
      <c r="AM31" s="12" t="s">
        <v>90</v>
      </c>
      <c r="AN31" s="12" t="s">
        <v>160</v>
      </c>
      <c r="AO31" s="12" t="s">
        <v>57</v>
      </c>
      <c r="AP31" s="12" t="s">
        <v>77</v>
      </c>
      <c r="AQ31" s="12" t="s">
        <v>78</v>
      </c>
      <c r="AR31" s="12" t="s">
        <v>79</v>
      </c>
      <c r="AS31" s="12" t="s">
        <v>1201</v>
      </c>
      <c r="AT31" s="12" t="s">
        <v>92</v>
      </c>
      <c r="AU31" s="12" t="s">
        <v>208</v>
      </c>
      <c r="AV31" s="12">
        <v>1</v>
      </c>
      <c r="AW31" s="12">
        <v>1</v>
      </c>
      <c r="AX31" s="12" t="s">
        <v>81</v>
      </c>
      <c r="AY31" s="12" t="s">
        <v>82</v>
      </c>
      <c r="AZ31" s="12" t="s">
        <v>83</v>
      </c>
      <c r="BA31" s="12" t="s">
        <v>84</v>
      </c>
      <c r="BB31" s="12"/>
      <c r="BC31" s="27" t="s">
        <v>1547</v>
      </c>
      <c r="BD31" s="27" t="s">
        <v>1548</v>
      </c>
      <c r="BE31" s="12"/>
    </row>
    <row r="32" spans="1:57" x14ac:dyDescent="0.25">
      <c r="A32" s="12" t="s">
        <v>211</v>
      </c>
      <c r="B32" s="12" t="s">
        <v>57</v>
      </c>
      <c r="C32" s="25">
        <v>22645</v>
      </c>
      <c r="D32" s="12">
        <f t="shared" si="6"/>
        <v>364</v>
      </c>
      <c r="E32" s="23">
        <f t="shared" si="7"/>
        <v>364</v>
      </c>
      <c r="F32" s="12">
        <f t="shared" si="0"/>
        <v>1961</v>
      </c>
      <c r="G32" s="12">
        <f t="shared" si="8"/>
        <v>12</v>
      </c>
      <c r="H32" s="12">
        <f t="shared" si="9"/>
        <v>30</v>
      </c>
      <c r="I32" s="24">
        <f t="shared" si="10"/>
        <v>22645</v>
      </c>
      <c r="J32" s="12" t="s">
        <v>58</v>
      </c>
      <c r="K32" s="12" t="str">
        <f t="shared" si="1"/>
        <v>Rallus aquaticus (Linnaeus, 1758)</v>
      </c>
      <c r="L32" s="12" t="str">
        <f t="shared" si="2"/>
        <v>Animalia|Chordata|Aves|Gruiformes|Rallidae|Rallus</v>
      </c>
      <c r="M32" s="12" t="s">
        <v>59</v>
      </c>
      <c r="N32" s="12" t="s">
        <v>60</v>
      </c>
      <c r="O32" s="12" t="s">
        <v>61</v>
      </c>
      <c r="P32" s="12" t="s">
        <v>212</v>
      </c>
      <c r="Q32" s="12" t="s">
        <v>213</v>
      </c>
      <c r="R32" s="12" t="s">
        <v>895</v>
      </c>
      <c r="S32" s="12" t="s">
        <v>214</v>
      </c>
      <c r="T32" s="12" t="s">
        <v>66</v>
      </c>
      <c r="U32" s="12" t="s">
        <v>215</v>
      </c>
      <c r="V32" s="12" t="s">
        <v>1165</v>
      </c>
      <c r="W32" s="12" t="s">
        <v>68</v>
      </c>
      <c r="X32" s="12">
        <v>44.33014</v>
      </c>
      <c r="Y32" s="12">
        <v>7.4859239999999998</v>
      </c>
      <c r="Z32" s="14" t="s">
        <v>69</v>
      </c>
      <c r="AA32" s="12">
        <v>1929</v>
      </c>
      <c r="AB32" s="12" t="str">
        <f t="shared" si="3"/>
        <v>44.33014/7.485924</v>
      </c>
      <c r="AC32" s="13" t="s">
        <v>1473</v>
      </c>
      <c r="AD32" s="25">
        <v>46054</v>
      </c>
      <c r="AE32" s="14" t="s">
        <v>70</v>
      </c>
      <c r="AF32" s="14" t="s">
        <v>71</v>
      </c>
      <c r="AG32" s="14" t="s">
        <v>72</v>
      </c>
      <c r="AH32" s="12" t="str">
        <f t="shared" si="4"/>
        <v>Europa | Italy | Piedmont | Costigliole Saluzzo</v>
      </c>
      <c r="AI32" s="12" t="s">
        <v>73</v>
      </c>
      <c r="AJ32" s="12"/>
      <c r="AK32" s="12" t="s">
        <v>74</v>
      </c>
      <c r="AL32" s="12" t="str">
        <f t="shared" si="5"/>
        <v>ITA</v>
      </c>
      <c r="AM32" s="12" t="s">
        <v>90</v>
      </c>
      <c r="AN32" s="12" t="s">
        <v>489</v>
      </c>
      <c r="AO32" s="12" t="s">
        <v>57</v>
      </c>
      <c r="AP32" s="12" t="s">
        <v>77</v>
      </c>
      <c r="AQ32" s="12" t="s">
        <v>78</v>
      </c>
      <c r="AR32" s="12" t="s">
        <v>79</v>
      </c>
      <c r="AS32" s="12" t="s">
        <v>1202</v>
      </c>
      <c r="AT32" s="12"/>
      <c r="AU32" s="12" t="s">
        <v>211</v>
      </c>
      <c r="AV32" s="12">
        <v>1</v>
      </c>
      <c r="AW32" s="12">
        <v>1</v>
      </c>
      <c r="AX32" s="12" t="s">
        <v>81</v>
      </c>
      <c r="AY32" s="12" t="s">
        <v>82</v>
      </c>
      <c r="AZ32" s="12" t="s">
        <v>83</v>
      </c>
      <c r="BA32" s="12" t="s">
        <v>84</v>
      </c>
      <c r="BB32" s="12"/>
      <c r="BC32" s="27" t="s">
        <v>1549</v>
      </c>
      <c r="BD32" s="27" t="s">
        <v>1550</v>
      </c>
      <c r="BE32" s="12"/>
    </row>
    <row r="33" spans="1:57" x14ac:dyDescent="0.25">
      <c r="A33" s="12" t="s">
        <v>216</v>
      </c>
      <c r="B33" s="12" t="s">
        <v>57</v>
      </c>
      <c r="C33" s="25">
        <v>20770</v>
      </c>
      <c r="D33" s="12">
        <f t="shared" si="6"/>
        <v>316</v>
      </c>
      <c r="E33" s="23">
        <f t="shared" si="7"/>
        <v>316</v>
      </c>
      <c r="F33" s="12">
        <f t="shared" si="0"/>
        <v>1956</v>
      </c>
      <c r="G33" s="12">
        <f t="shared" si="8"/>
        <v>11</v>
      </c>
      <c r="H33" s="12">
        <f t="shared" si="9"/>
        <v>11</v>
      </c>
      <c r="I33" s="24">
        <f t="shared" si="10"/>
        <v>20770</v>
      </c>
      <c r="J33" s="12" t="s">
        <v>58</v>
      </c>
      <c r="K33" s="12" t="str">
        <f t="shared" si="1"/>
        <v>Rallus aquaticus (Linnaeus, 1758)</v>
      </c>
      <c r="L33" s="12" t="str">
        <f t="shared" si="2"/>
        <v>Animalia|Chordata|Aves|Gruiformes|Rallidae|Rallus</v>
      </c>
      <c r="M33" s="12" t="s">
        <v>59</v>
      </c>
      <c r="N33" s="12" t="s">
        <v>60</v>
      </c>
      <c r="O33" s="12" t="s">
        <v>61</v>
      </c>
      <c r="P33" s="12" t="s">
        <v>212</v>
      </c>
      <c r="Q33" s="12" t="s">
        <v>213</v>
      </c>
      <c r="R33" s="12" t="s">
        <v>895</v>
      </c>
      <c r="S33" s="12" t="s">
        <v>214</v>
      </c>
      <c r="T33" s="12" t="s">
        <v>66</v>
      </c>
      <c r="U33" s="12" t="s">
        <v>215</v>
      </c>
      <c r="V33" s="12"/>
      <c r="W33" s="12" t="s">
        <v>68</v>
      </c>
      <c r="X33" s="12">
        <v>41.9</v>
      </c>
      <c r="Y33" s="12">
        <v>12.483333</v>
      </c>
      <c r="Z33" s="14" t="s">
        <v>69</v>
      </c>
      <c r="AA33" s="12">
        <v>36625</v>
      </c>
      <c r="AB33" s="12" t="str">
        <f t="shared" si="3"/>
        <v>41.9/12.483333</v>
      </c>
      <c r="AC33" s="13" t="s">
        <v>1473</v>
      </c>
      <c r="AD33" s="25">
        <v>46054</v>
      </c>
      <c r="AE33" s="14" t="s">
        <v>70</v>
      </c>
      <c r="AF33" s="14" t="s">
        <v>71</v>
      </c>
      <c r="AG33" s="14" t="s">
        <v>72</v>
      </c>
      <c r="AH33" s="12" t="str">
        <f t="shared" si="4"/>
        <v>Europa | Italy | Lazio | Rome</v>
      </c>
      <c r="AI33" s="12" t="s">
        <v>73</v>
      </c>
      <c r="AJ33" s="12"/>
      <c r="AK33" s="12" t="s">
        <v>74</v>
      </c>
      <c r="AL33" s="12" t="str">
        <f t="shared" si="5"/>
        <v>ITA</v>
      </c>
      <c r="AM33" s="12" t="s">
        <v>75</v>
      </c>
      <c r="AN33" s="12" t="s">
        <v>153</v>
      </c>
      <c r="AO33" s="12" t="s">
        <v>57</v>
      </c>
      <c r="AP33" s="12" t="s">
        <v>77</v>
      </c>
      <c r="AQ33" s="12" t="s">
        <v>78</v>
      </c>
      <c r="AR33" s="12" t="s">
        <v>79</v>
      </c>
      <c r="AS33" s="12" t="s">
        <v>1203</v>
      </c>
      <c r="AT33" s="12"/>
      <c r="AU33" s="12" t="s">
        <v>216</v>
      </c>
      <c r="AV33" s="12">
        <v>1</v>
      </c>
      <c r="AW33" s="12">
        <v>1</v>
      </c>
      <c r="AX33" s="12" t="s">
        <v>81</v>
      </c>
      <c r="AY33" s="12" t="s">
        <v>82</v>
      </c>
      <c r="AZ33" s="12" t="s">
        <v>83</v>
      </c>
      <c r="BA33" s="12" t="s">
        <v>84</v>
      </c>
      <c r="BB33" s="12"/>
      <c r="BC33" s="27" t="s">
        <v>1551</v>
      </c>
      <c r="BD33" s="27" t="s">
        <v>1552</v>
      </c>
      <c r="BE33" s="12"/>
    </row>
    <row r="34" spans="1:57" x14ac:dyDescent="0.25">
      <c r="A34" s="12" t="s">
        <v>217</v>
      </c>
      <c r="B34" s="12" t="s">
        <v>57</v>
      </c>
      <c r="C34" s="25">
        <v>22563</v>
      </c>
      <c r="D34" s="12">
        <f t="shared" si="6"/>
        <v>282</v>
      </c>
      <c r="E34" s="23">
        <f t="shared" si="7"/>
        <v>282</v>
      </c>
      <c r="F34" s="12">
        <f t="shared" si="0"/>
        <v>1961</v>
      </c>
      <c r="G34" s="12">
        <f t="shared" si="8"/>
        <v>10</v>
      </c>
      <c r="H34" s="12">
        <f t="shared" si="9"/>
        <v>9</v>
      </c>
      <c r="I34" s="24">
        <f t="shared" si="10"/>
        <v>22563</v>
      </c>
      <c r="J34" s="12" t="s">
        <v>58</v>
      </c>
      <c r="K34" s="12" t="str">
        <f t="shared" si="1"/>
        <v>Fulica atra (Linnaeus, 1758)</v>
      </c>
      <c r="L34" s="12" t="str">
        <f t="shared" si="2"/>
        <v>Animalia|Chordata|Aves|Gruiformes|Rallidae|Fulica</v>
      </c>
      <c r="M34" s="12" t="s">
        <v>59</v>
      </c>
      <c r="N34" s="12" t="s">
        <v>60</v>
      </c>
      <c r="O34" s="12" t="s">
        <v>61</v>
      </c>
      <c r="P34" s="12" t="s">
        <v>212</v>
      </c>
      <c r="Q34" s="12" t="s">
        <v>213</v>
      </c>
      <c r="R34" s="12" t="s">
        <v>896</v>
      </c>
      <c r="S34" s="12" t="s">
        <v>218</v>
      </c>
      <c r="T34" s="12" t="s">
        <v>66</v>
      </c>
      <c r="U34" s="12" t="s">
        <v>219</v>
      </c>
      <c r="V34" s="12" t="s">
        <v>1165</v>
      </c>
      <c r="W34" s="12" t="s">
        <v>68</v>
      </c>
      <c r="X34" s="12">
        <v>44.342540999999997</v>
      </c>
      <c r="Y34" s="12">
        <v>7.0318740000000002</v>
      </c>
      <c r="Z34" s="14" t="s">
        <v>69</v>
      </c>
      <c r="AA34" s="12">
        <v>1156</v>
      </c>
      <c r="AB34" s="12" t="str">
        <f t="shared" si="3"/>
        <v>44.342541/7.031874</v>
      </c>
      <c r="AC34" s="13" t="s">
        <v>1473</v>
      </c>
      <c r="AD34" s="25">
        <v>46054</v>
      </c>
      <c r="AE34" s="14" t="s">
        <v>70</v>
      </c>
      <c r="AF34" s="14" t="s">
        <v>71</v>
      </c>
      <c r="AG34" s="14" t="s">
        <v>72</v>
      </c>
      <c r="AH34" s="12" t="str">
        <f t="shared" si="4"/>
        <v>Europa | Italy | Piedmont | Pietraporzio</v>
      </c>
      <c r="AI34" s="12" t="s">
        <v>73</v>
      </c>
      <c r="AJ34" s="12"/>
      <c r="AK34" s="12" t="s">
        <v>74</v>
      </c>
      <c r="AL34" s="12" t="str">
        <f t="shared" si="5"/>
        <v>ITA</v>
      </c>
      <c r="AM34" s="12" t="s">
        <v>90</v>
      </c>
      <c r="AN34" s="12" t="s">
        <v>220</v>
      </c>
      <c r="AO34" s="12" t="s">
        <v>57</v>
      </c>
      <c r="AP34" s="12" t="s">
        <v>77</v>
      </c>
      <c r="AQ34" s="12" t="s">
        <v>78</v>
      </c>
      <c r="AR34" s="12" t="s">
        <v>79</v>
      </c>
      <c r="AS34" s="12" t="s">
        <v>1204</v>
      </c>
      <c r="AT34" s="12" t="s">
        <v>80</v>
      </c>
      <c r="AU34" s="12" t="s">
        <v>217</v>
      </c>
      <c r="AV34" s="12">
        <v>1</v>
      </c>
      <c r="AW34" s="12">
        <v>1</v>
      </c>
      <c r="AX34" s="12" t="s">
        <v>81</v>
      </c>
      <c r="AY34" s="12" t="s">
        <v>82</v>
      </c>
      <c r="AZ34" s="12" t="s">
        <v>83</v>
      </c>
      <c r="BA34" s="12" t="s">
        <v>84</v>
      </c>
      <c r="BB34" s="12"/>
      <c r="BC34" s="27" t="s">
        <v>1553</v>
      </c>
      <c r="BD34" s="27" t="s">
        <v>1554</v>
      </c>
      <c r="BE34" s="12"/>
    </row>
    <row r="35" spans="1:57" x14ac:dyDescent="0.25">
      <c r="A35" s="12" t="s">
        <v>221</v>
      </c>
      <c r="B35" s="12" t="s">
        <v>57</v>
      </c>
      <c r="C35" s="25">
        <v>22564</v>
      </c>
      <c r="D35" s="12">
        <f t="shared" si="6"/>
        <v>283</v>
      </c>
      <c r="E35" s="23">
        <f t="shared" si="7"/>
        <v>283</v>
      </c>
      <c r="F35" s="12">
        <f t="shared" si="0"/>
        <v>1961</v>
      </c>
      <c r="G35" s="12">
        <f t="shared" si="8"/>
        <v>10</v>
      </c>
      <c r="H35" s="12">
        <f t="shared" si="9"/>
        <v>10</v>
      </c>
      <c r="I35" s="24">
        <f t="shared" si="10"/>
        <v>22564</v>
      </c>
      <c r="J35" s="12" t="s">
        <v>58</v>
      </c>
      <c r="K35" s="12" t="str">
        <f t="shared" si="1"/>
        <v>Fulica atra (Linnaeus, 1758)</v>
      </c>
      <c r="L35" s="12" t="str">
        <f t="shared" si="2"/>
        <v>Animalia|Chordata|Aves|Gruiformes|Rallidae|Fulica</v>
      </c>
      <c r="M35" s="12" t="s">
        <v>59</v>
      </c>
      <c r="N35" s="12" t="s">
        <v>60</v>
      </c>
      <c r="O35" s="12" t="s">
        <v>61</v>
      </c>
      <c r="P35" s="12" t="s">
        <v>212</v>
      </c>
      <c r="Q35" s="12" t="s">
        <v>213</v>
      </c>
      <c r="R35" s="12" t="s">
        <v>896</v>
      </c>
      <c r="S35" s="12" t="s">
        <v>218</v>
      </c>
      <c r="T35" s="12" t="s">
        <v>66</v>
      </c>
      <c r="U35" s="12" t="s">
        <v>219</v>
      </c>
      <c r="V35" s="12" t="s">
        <v>1165</v>
      </c>
      <c r="W35" s="12" t="s">
        <v>68</v>
      </c>
      <c r="X35" s="12">
        <v>44.342540999999997</v>
      </c>
      <c r="Y35" s="12">
        <v>7.0318740000000002</v>
      </c>
      <c r="Z35" s="14" t="s">
        <v>69</v>
      </c>
      <c r="AA35" s="12">
        <v>1156</v>
      </c>
      <c r="AB35" s="12" t="str">
        <f t="shared" si="3"/>
        <v>44.342541/7.031874</v>
      </c>
      <c r="AC35" s="13" t="s">
        <v>1473</v>
      </c>
      <c r="AD35" s="25">
        <v>46054</v>
      </c>
      <c r="AE35" s="14" t="s">
        <v>70</v>
      </c>
      <c r="AF35" s="14" t="s">
        <v>71</v>
      </c>
      <c r="AG35" s="14" t="s">
        <v>72</v>
      </c>
      <c r="AH35" s="12" t="str">
        <f t="shared" si="4"/>
        <v>Europa | Italy | Piedmont | Pietraporzio</v>
      </c>
      <c r="AI35" s="12" t="s">
        <v>73</v>
      </c>
      <c r="AJ35" s="12"/>
      <c r="AK35" s="12" t="s">
        <v>74</v>
      </c>
      <c r="AL35" s="12" t="str">
        <f t="shared" si="5"/>
        <v>ITA</v>
      </c>
      <c r="AM35" s="12" t="s">
        <v>90</v>
      </c>
      <c r="AN35" s="12" t="s">
        <v>220</v>
      </c>
      <c r="AO35" s="12" t="s">
        <v>57</v>
      </c>
      <c r="AP35" s="12" t="s">
        <v>77</v>
      </c>
      <c r="AQ35" s="12" t="s">
        <v>78</v>
      </c>
      <c r="AR35" s="12" t="s">
        <v>79</v>
      </c>
      <c r="AS35" s="12" t="s">
        <v>1205</v>
      </c>
      <c r="AT35" s="12"/>
      <c r="AU35" s="12" t="s">
        <v>221</v>
      </c>
      <c r="AV35" s="12">
        <v>1</v>
      </c>
      <c r="AW35" s="12">
        <v>1</v>
      </c>
      <c r="AX35" s="12" t="s">
        <v>81</v>
      </c>
      <c r="AY35" s="12" t="s">
        <v>82</v>
      </c>
      <c r="AZ35" s="12" t="s">
        <v>83</v>
      </c>
      <c r="BA35" s="12" t="s">
        <v>84</v>
      </c>
      <c r="BB35" s="12"/>
      <c r="BC35" s="27" t="s">
        <v>1555</v>
      </c>
      <c r="BD35" s="27" t="s">
        <v>1556</v>
      </c>
      <c r="BE35" s="12"/>
    </row>
    <row r="36" spans="1:57" x14ac:dyDescent="0.25">
      <c r="A36" s="12" t="s">
        <v>222</v>
      </c>
      <c r="B36" s="12" t="s">
        <v>57</v>
      </c>
      <c r="C36" s="25">
        <v>22559</v>
      </c>
      <c r="D36" s="12">
        <f t="shared" si="6"/>
        <v>278</v>
      </c>
      <c r="E36" s="23">
        <f t="shared" si="7"/>
        <v>278</v>
      </c>
      <c r="F36" s="12">
        <f t="shared" si="0"/>
        <v>1961</v>
      </c>
      <c r="G36" s="12">
        <f t="shared" si="8"/>
        <v>10</v>
      </c>
      <c r="H36" s="12">
        <f t="shared" si="9"/>
        <v>5</v>
      </c>
      <c r="I36" s="24">
        <f t="shared" si="10"/>
        <v>22559</v>
      </c>
      <c r="J36" s="12" t="s">
        <v>58</v>
      </c>
      <c r="K36" s="12" t="str">
        <f t="shared" si="1"/>
        <v>Gallinula chloropus (Linnaeus, 1758)</v>
      </c>
      <c r="L36" s="12" t="str">
        <f t="shared" si="2"/>
        <v>Animalia|Chordata|Aves|Gruiformes|Rallidae|Gallinula</v>
      </c>
      <c r="M36" s="12" t="s">
        <v>59</v>
      </c>
      <c r="N36" s="12" t="s">
        <v>60</v>
      </c>
      <c r="O36" s="12" t="s">
        <v>61</v>
      </c>
      <c r="P36" s="12" t="s">
        <v>212</v>
      </c>
      <c r="Q36" s="12" t="s">
        <v>213</v>
      </c>
      <c r="R36" s="12" t="s">
        <v>897</v>
      </c>
      <c r="S36" s="12" t="s">
        <v>223</v>
      </c>
      <c r="T36" s="12" t="s">
        <v>66</v>
      </c>
      <c r="U36" s="12" t="s">
        <v>224</v>
      </c>
      <c r="V36" s="12" t="s">
        <v>1165</v>
      </c>
      <c r="W36" s="12" t="s">
        <v>68</v>
      </c>
      <c r="X36" s="12">
        <v>44.200369000000002</v>
      </c>
      <c r="Y36" s="12">
        <v>7.5717309999999998</v>
      </c>
      <c r="Z36" s="14" t="s">
        <v>69</v>
      </c>
      <c r="AA36" s="12">
        <v>2000</v>
      </c>
      <c r="AB36" s="12" t="str">
        <f t="shared" si="3"/>
        <v>44.200369/7.571731</v>
      </c>
      <c r="AC36" s="13" t="s">
        <v>1473</v>
      </c>
      <c r="AD36" s="25">
        <v>46054</v>
      </c>
      <c r="AE36" s="14" t="s">
        <v>70</v>
      </c>
      <c r="AF36" s="14" t="s">
        <v>71</v>
      </c>
      <c r="AG36" s="14" t="s">
        <v>72</v>
      </c>
      <c r="AH36" s="12" t="str">
        <f t="shared" si="4"/>
        <v>Europa | Italy | Piedmont | Limone Piemonte</v>
      </c>
      <c r="AI36" s="12" t="s">
        <v>73</v>
      </c>
      <c r="AJ36" s="12"/>
      <c r="AK36" s="12" t="s">
        <v>74</v>
      </c>
      <c r="AL36" s="12" t="str">
        <f t="shared" si="5"/>
        <v>ITA</v>
      </c>
      <c r="AM36" s="12" t="s">
        <v>90</v>
      </c>
      <c r="AN36" s="12" t="s">
        <v>91</v>
      </c>
      <c r="AO36" s="12" t="s">
        <v>57</v>
      </c>
      <c r="AP36" s="12" t="s">
        <v>77</v>
      </c>
      <c r="AQ36" s="12" t="s">
        <v>78</v>
      </c>
      <c r="AR36" s="12" t="s">
        <v>79</v>
      </c>
      <c r="AS36" s="12" t="s">
        <v>1206</v>
      </c>
      <c r="AT36" s="12"/>
      <c r="AU36" s="12" t="s">
        <v>222</v>
      </c>
      <c r="AV36" s="12">
        <v>1</v>
      </c>
      <c r="AW36" s="12">
        <v>1</v>
      </c>
      <c r="AX36" s="12" t="s">
        <v>81</v>
      </c>
      <c r="AY36" s="12" t="s">
        <v>82</v>
      </c>
      <c r="AZ36" s="12" t="s">
        <v>83</v>
      </c>
      <c r="BA36" s="12" t="s">
        <v>84</v>
      </c>
      <c r="BB36" s="12"/>
      <c r="BC36" s="27" t="s">
        <v>1557</v>
      </c>
      <c r="BD36" s="27" t="s">
        <v>1558</v>
      </c>
      <c r="BE36" s="12"/>
    </row>
    <row r="37" spans="1:57" x14ac:dyDescent="0.25">
      <c r="A37" s="12" t="s">
        <v>225</v>
      </c>
      <c r="B37" s="12" t="s">
        <v>57</v>
      </c>
      <c r="C37" s="12">
        <v>1970</v>
      </c>
      <c r="D37" s="12"/>
      <c r="E37" s="23"/>
      <c r="F37" s="12">
        <f t="shared" si="0"/>
        <v>1970</v>
      </c>
      <c r="G37" s="12"/>
      <c r="H37" s="12"/>
      <c r="I37" s="24">
        <f t="shared" si="10"/>
        <v>1970</v>
      </c>
      <c r="J37" s="12" t="s">
        <v>58</v>
      </c>
      <c r="K37" s="12" t="str">
        <f t="shared" si="1"/>
        <v>Podiceps cristatus (Linnaeus, 1758)</v>
      </c>
      <c r="L37" s="12" t="str">
        <f t="shared" si="2"/>
        <v>Animalia|Chordata|Aves|Podicipediformes|Podicipedidae|Podiceps</v>
      </c>
      <c r="M37" s="12" t="s">
        <v>59</v>
      </c>
      <c r="N37" s="12" t="s">
        <v>60</v>
      </c>
      <c r="O37" s="12" t="s">
        <v>61</v>
      </c>
      <c r="P37" s="12" t="s">
        <v>226</v>
      </c>
      <c r="Q37" s="12" t="s">
        <v>227</v>
      </c>
      <c r="R37" s="12" t="s">
        <v>898</v>
      </c>
      <c r="S37" s="12" t="s">
        <v>228</v>
      </c>
      <c r="T37" s="12" t="s">
        <v>66</v>
      </c>
      <c r="U37" s="12" t="s">
        <v>229</v>
      </c>
      <c r="V37" s="12"/>
      <c r="W37" s="12" t="s">
        <v>68</v>
      </c>
      <c r="X37" s="12">
        <v>41.9</v>
      </c>
      <c r="Y37" s="12">
        <v>12.483333</v>
      </c>
      <c r="Z37" s="14" t="s">
        <v>69</v>
      </c>
      <c r="AA37" s="12">
        <v>36625</v>
      </c>
      <c r="AB37" s="12" t="str">
        <f t="shared" si="3"/>
        <v>41.9/12.483333</v>
      </c>
      <c r="AC37" s="13" t="s">
        <v>1473</v>
      </c>
      <c r="AD37" s="25">
        <v>46054</v>
      </c>
      <c r="AE37" s="14" t="s">
        <v>70</v>
      </c>
      <c r="AF37" s="14" t="s">
        <v>71</v>
      </c>
      <c r="AG37" s="14" t="s">
        <v>72</v>
      </c>
      <c r="AH37" s="12" t="str">
        <f t="shared" si="4"/>
        <v>Europa | Italy | Lazio | Rome</v>
      </c>
      <c r="AI37" s="12" t="s">
        <v>73</v>
      </c>
      <c r="AJ37" s="12"/>
      <c r="AK37" s="12" t="s">
        <v>74</v>
      </c>
      <c r="AL37" s="12" t="str">
        <f t="shared" si="5"/>
        <v>ITA</v>
      </c>
      <c r="AM37" s="12" t="s">
        <v>75</v>
      </c>
      <c r="AN37" s="12" t="s">
        <v>153</v>
      </c>
      <c r="AO37" s="12" t="s">
        <v>57</v>
      </c>
      <c r="AP37" s="12" t="s">
        <v>77</v>
      </c>
      <c r="AQ37" s="12" t="s">
        <v>78</v>
      </c>
      <c r="AR37" s="12" t="s">
        <v>79</v>
      </c>
      <c r="AS37" s="12" t="s">
        <v>1207</v>
      </c>
      <c r="AT37" s="12" t="s">
        <v>80</v>
      </c>
      <c r="AU37" s="12" t="s">
        <v>225</v>
      </c>
      <c r="AV37" s="12">
        <v>1</v>
      </c>
      <c r="AW37" s="12">
        <v>1</v>
      </c>
      <c r="AX37" s="12" t="s">
        <v>81</v>
      </c>
      <c r="AY37" s="12" t="s">
        <v>82</v>
      </c>
      <c r="AZ37" s="12" t="s">
        <v>83</v>
      </c>
      <c r="BA37" s="12" t="s">
        <v>84</v>
      </c>
      <c r="BB37" s="12"/>
      <c r="BC37" s="27" t="s">
        <v>1559</v>
      </c>
      <c r="BD37" s="27" t="s">
        <v>1560</v>
      </c>
      <c r="BE37" s="12"/>
    </row>
    <row r="38" spans="1:57" x14ac:dyDescent="0.25">
      <c r="A38" s="12" t="s">
        <v>230</v>
      </c>
      <c r="B38" s="12" t="s">
        <v>57</v>
      </c>
      <c r="C38" s="12">
        <v>1889</v>
      </c>
      <c r="D38" s="12"/>
      <c r="E38" s="23"/>
      <c r="F38" s="12">
        <f t="shared" si="0"/>
        <v>1889</v>
      </c>
      <c r="G38" s="12"/>
      <c r="H38" s="12"/>
      <c r="I38" s="24">
        <f t="shared" si="10"/>
        <v>1889</v>
      </c>
      <c r="J38" s="12" t="s">
        <v>58</v>
      </c>
      <c r="K38" s="12" t="str">
        <f t="shared" si="1"/>
        <v>Nycticorax nycticorax (Linnaeus, 1758)</v>
      </c>
      <c r="L38" s="12" t="str">
        <f t="shared" si="2"/>
        <v>Animalia|Chordata|Aves|Pelecaniformes|Ardeidae|Nycticorax</v>
      </c>
      <c r="M38" s="12" t="s">
        <v>59</v>
      </c>
      <c r="N38" s="12" t="s">
        <v>60</v>
      </c>
      <c r="O38" s="12" t="s">
        <v>61</v>
      </c>
      <c r="P38" s="12" t="s">
        <v>231</v>
      </c>
      <c r="Q38" s="12" t="s">
        <v>232</v>
      </c>
      <c r="R38" s="12" t="s">
        <v>899</v>
      </c>
      <c r="S38" s="12" t="s">
        <v>233</v>
      </c>
      <c r="T38" s="12" t="s">
        <v>66</v>
      </c>
      <c r="U38" s="12" t="s">
        <v>234</v>
      </c>
      <c r="V38" s="12"/>
      <c r="W38" s="12" t="s">
        <v>68</v>
      </c>
      <c r="X38" s="12">
        <v>41.9</v>
      </c>
      <c r="Y38" s="12">
        <v>12.483333</v>
      </c>
      <c r="Z38" s="14" t="s">
        <v>69</v>
      </c>
      <c r="AA38" s="12">
        <v>36625</v>
      </c>
      <c r="AB38" s="12" t="str">
        <f t="shared" si="3"/>
        <v>41.9/12.483333</v>
      </c>
      <c r="AC38" s="13" t="s">
        <v>1473</v>
      </c>
      <c r="AD38" s="25">
        <v>46054</v>
      </c>
      <c r="AE38" s="14" t="s">
        <v>70</v>
      </c>
      <c r="AF38" s="14" t="s">
        <v>71</v>
      </c>
      <c r="AG38" s="14" t="s">
        <v>72</v>
      </c>
      <c r="AH38" s="12" t="str">
        <f t="shared" si="4"/>
        <v>Europa | Italy | Lazio | Rome</v>
      </c>
      <c r="AI38" s="12" t="s">
        <v>73</v>
      </c>
      <c r="AJ38" s="12"/>
      <c r="AK38" s="12" t="s">
        <v>74</v>
      </c>
      <c r="AL38" s="12" t="str">
        <f t="shared" si="5"/>
        <v>ITA</v>
      </c>
      <c r="AM38" s="12" t="s">
        <v>75</v>
      </c>
      <c r="AN38" s="12" t="s">
        <v>153</v>
      </c>
      <c r="AO38" s="12" t="s">
        <v>57</v>
      </c>
      <c r="AP38" s="12" t="s">
        <v>77</v>
      </c>
      <c r="AQ38" s="12" t="s">
        <v>78</v>
      </c>
      <c r="AR38" s="12" t="s">
        <v>79</v>
      </c>
      <c r="AS38" s="12" t="s">
        <v>1208</v>
      </c>
      <c r="AT38" s="12"/>
      <c r="AU38" s="12" t="s">
        <v>230</v>
      </c>
      <c r="AV38" s="12">
        <v>1</v>
      </c>
      <c r="AW38" s="12">
        <v>1</v>
      </c>
      <c r="AX38" s="12" t="s">
        <v>81</v>
      </c>
      <c r="AY38" s="12" t="s">
        <v>82</v>
      </c>
      <c r="AZ38" s="12" t="s">
        <v>83</v>
      </c>
      <c r="BA38" s="12" t="s">
        <v>84</v>
      </c>
      <c r="BB38" s="12"/>
      <c r="BC38" s="27" t="s">
        <v>1561</v>
      </c>
      <c r="BD38" s="27" t="s">
        <v>1562</v>
      </c>
      <c r="BE38" s="12"/>
    </row>
    <row r="39" spans="1:57" x14ac:dyDescent="0.25">
      <c r="A39" s="12" t="s">
        <v>235</v>
      </c>
      <c r="B39" s="12" t="s">
        <v>57</v>
      </c>
      <c r="C39" s="25">
        <v>21659</v>
      </c>
      <c r="D39" s="12">
        <f t="shared" si="6"/>
        <v>109</v>
      </c>
      <c r="E39" s="23">
        <f t="shared" si="7"/>
        <v>109</v>
      </c>
      <c r="F39" s="12">
        <f t="shared" si="0"/>
        <v>1959</v>
      </c>
      <c r="G39" s="12">
        <f t="shared" si="8"/>
        <v>4</v>
      </c>
      <c r="H39" s="12">
        <f t="shared" si="9"/>
        <v>19</v>
      </c>
      <c r="I39" s="24">
        <f t="shared" si="10"/>
        <v>21659</v>
      </c>
      <c r="J39" s="12" t="s">
        <v>86</v>
      </c>
      <c r="K39" s="12" t="str">
        <f t="shared" si="1"/>
        <v>Ardea purpurea (Linnaeus, 1766)</v>
      </c>
      <c r="L39" s="12" t="str">
        <f t="shared" si="2"/>
        <v>Animalia|Chordata|Aves|Pelecaniformes|Ardeidae|Ardea</v>
      </c>
      <c r="M39" s="12" t="s">
        <v>59</v>
      </c>
      <c r="N39" s="12" t="s">
        <v>60</v>
      </c>
      <c r="O39" s="12" t="s">
        <v>61</v>
      </c>
      <c r="P39" s="12" t="s">
        <v>231</v>
      </c>
      <c r="Q39" s="12" t="s">
        <v>232</v>
      </c>
      <c r="R39" s="12" t="s">
        <v>900</v>
      </c>
      <c r="S39" s="12" t="s">
        <v>236</v>
      </c>
      <c r="T39" s="12" t="s">
        <v>66</v>
      </c>
      <c r="U39" s="12" t="s">
        <v>237</v>
      </c>
      <c r="V39" s="12"/>
      <c r="W39" s="12" t="s">
        <v>68</v>
      </c>
      <c r="X39" s="12">
        <v>45.288525999999997</v>
      </c>
      <c r="Y39" s="12">
        <v>11.780415</v>
      </c>
      <c r="Z39" s="14" t="s">
        <v>69</v>
      </c>
      <c r="AA39" s="12">
        <v>1532</v>
      </c>
      <c r="AB39" s="12" t="str">
        <f t="shared" si="3"/>
        <v>45.288526/11.780415</v>
      </c>
      <c r="AC39" s="13" t="s">
        <v>1473</v>
      </c>
      <c r="AD39" s="25">
        <v>46054</v>
      </c>
      <c r="AE39" s="14" t="s">
        <v>70</v>
      </c>
      <c r="AF39" s="14" t="s">
        <v>71</v>
      </c>
      <c r="AG39" s="14" t="s">
        <v>72</v>
      </c>
      <c r="AH39" s="12" t="str">
        <f t="shared" si="4"/>
        <v>Europa | Italy | Veneto | Battaglia Terme</v>
      </c>
      <c r="AI39" s="12" t="s">
        <v>73</v>
      </c>
      <c r="AJ39" s="12"/>
      <c r="AK39" s="12" t="s">
        <v>74</v>
      </c>
      <c r="AL39" s="12" t="str">
        <f t="shared" si="5"/>
        <v>ITA</v>
      </c>
      <c r="AM39" s="12" t="s">
        <v>150</v>
      </c>
      <c r="AN39" s="12" t="s">
        <v>238</v>
      </c>
      <c r="AO39" s="12" t="s">
        <v>57</v>
      </c>
      <c r="AP39" s="12" t="s">
        <v>77</v>
      </c>
      <c r="AQ39" s="12" t="s">
        <v>78</v>
      </c>
      <c r="AR39" s="12" t="s">
        <v>79</v>
      </c>
      <c r="AS39" s="12" t="s">
        <v>1209</v>
      </c>
      <c r="AT39" s="12" t="s">
        <v>92</v>
      </c>
      <c r="AU39" s="12" t="s">
        <v>235</v>
      </c>
      <c r="AV39" s="12">
        <v>1</v>
      </c>
      <c r="AW39" s="12">
        <v>1</v>
      </c>
      <c r="AX39" s="12" t="s">
        <v>81</v>
      </c>
      <c r="AY39" s="12" t="s">
        <v>82</v>
      </c>
      <c r="AZ39" s="12" t="s">
        <v>83</v>
      </c>
      <c r="BA39" s="12" t="s">
        <v>84</v>
      </c>
      <c r="BB39" s="12"/>
      <c r="BC39" s="27" t="s">
        <v>1563</v>
      </c>
      <c r="BD39" s="27" t="s">
        <v>1564</v>
      </c>
      <c r="BE39" s="12"/>
    </row>
    <row r="40" spans="1:57" x14ac:dyDescent="0.25">
      <c r="A40" s="12" t="s">
        <v>239</v>
      </c>
      <c r="B40" s="12" t="s">
        <v>57</v>
      </c>
      <c r="C40" s="25">
        <v>21577</v>
      </c>
      <c r="D40" s="12">
        <f t="shared" si="6"/>
        <v>27</v>
      </c>
      <c r="E40" s="23">
        <f t="shared" si="7"/>
        <v>27</v>
      </c>
      <c r="F40" s="12">
        <f t="shared" si="0"/>
        <v>1959</v>
      </c>
      <c r="G40" s="12">
        <f t="shared" si="8"/>
        <v>1</v>
      </c>
      <c r="H40" s="12">
        <f t="shared" si="9"/>
        <v>27</v>
      </c>
      <c r="I40" s="24">
        <f t="shared" si="10"/>
        <v>21577</v>
      </c>
      <c r="J40" s="12" t="s">
        <v>240</v>
      </c>
      <c r="K40" s="12" t="str">
        <f t="shared" si="1"/>
        <v>Athene noctua (Scopoli, 1769)</v>
      </c>
      <c r="L40" s="12" t="str">
        <f t="shared" si="2"/>
        <v>Animalia|Chordata|Aves|Strigiformes|Strigidae|Athene</v>
      </c>
      <c r="M40" s="12" t="s">
        <v>59</v>
      </c>
      <c r="N40" s="12" t="s">
        <v>60</v>
      </c>
      <c r="O40" s="12" t="s">
        <v>61</v>
      </c>
      <c r="P40" s="12" t="s">
        <v>241</v>
      </c>
      <c r="Q40" s="12" t="s">
        <v>242</v>
      </c>
      <c r="R40" s="12" t="s">
        <v>901</v>
      </c>
      <c r="S40" s="12" t="s">
        <v>243</v>
      </c>
      <c r="T40" s="12" t="s">
        <v>66</v>
      </c>
      <c r="U40" s="12" t="s">
        <v>244</v>
      </c>
      <c r="V40" s="12" t="s">
        <v>1165</v>
      </c>
      <c r="W40" s="12" t="s">
        <v>68</v>
      </c>
      <c r="X40" s="12">
        <v>44.393961317324397</v>
      </c>
      <c r="Y40" s="12">
        <v>7.5159478748405704</v>
      </c>
      <c r="Z40" s="14" t="s">
        <v>69</v>
      </c>
      <c r="AA40" s="12">
        <v>2200</v>
      </c>
      <c r="AB40" s="12" t="str">
        <f t="shared" si="3"/>
        <v>44.3939613173244/7.51594787484057</v>
      </c>
      <c r="AC40" s="13" t="s">
        <v>1473</v>
      </c>
      <c r="AD40" s="25">
        <v>46054</v>
      </c>
      <c r="AE40" s="14" t="s">
        <v>70</v>
      </c>
      <c r="AF40" s="14" t="s">
        <v>71</v>
      </c>
      <c r="AG40" s="14" t="s">
        <v>72</v>
      </c>
      <c r="AH40" s="12" t="str">
        <f t="shared" si="4"/>
        <v>Europa | Italy | Piedmont | Confreria</v>
      </c>
      <c r="AI40" s="12" t="s">
        <v>73</v>
      </c>
      <c r="AJ40" s="12"/>
      <c r="AK40" s="12" t="s">
        <v>74</v>
      </c>
      <c r="AL40" s="12" t="str">
        <f t="shared" si="5"/>
        <v>ITA</v>
      </c>
      <c r="AM40" s="12" t="s">
        <v>90</v>
      </c>
      <c r="AN40" s="12" t="s">
        <v>589</v>
      </c>
      <c r="AO40" s="12" t="s">
        <v>57</v>
      </c>
      <c r="AP40" s="12" t="s">
        <v>77</v>
      </c>
      <c r="AQ40" s="12" t="s">
        <v>78</v>
      </c>
      <c r="AR40" s="12" t="s">
        <v>79</v>
      </c>
      <c r="AS40" s="12" t="s">
        <v>1210</v>
      </c>
      <c r="AT40" s="12"/>
      <c r="AU40" s="12" t="s">
        <v>239</v>
      </c>
      <c r="AV40" s="12">
        <v>1</v>
      </c>
      <c r="AW40" s="12">
        <v>1</v>
      </c>
      <c r="AX40" s="12" t="s">
        <v>81</v>
      </c>
      <c r="AY40" s="12" t="s">
        <v>82</v>
      </c>
      <c r="AZ40" s="12" t="s">
        <v>83</v>
      </c>
      <c r="BA40" s="12" t="s">
        <v>84</v>
      </c>
      <c r="BB40" s="12"/>
      <c r="BC40" s="27" t="s">
        <v>1565</v>
      </c>
      <c r="BD40" s="27" t="s">
        <v>1566</v>
      </c>
      <c r="BE40" s="12"/>
    </row>
    <row r="41" spans="1:57" x14ac:dyDescent="0.25">
      <c r="A41" s="12" t="s">
        <v>245</v>
      </c>
      <c r="B41" s="12" t="s">
        <v>57</v>
      </c>
      <c r="C41" s="12">
        <v>1898</v>
      </c>
      <c r="D41" s="12"/>
      <c r="E41" s="23"/>
      <c r="F41" s="12">
        <f t="shared" si="0"/>
        <v>1898</v>
      </c>
      <c r="G41" s="12"/>
      <c r="H41" s="12"/>
      <c r="I41" s="24">
        <f t="shared" si="10"/>
        <v>1898</v>
      </c>
      <c r="J41" s="12" t="s">
        <v>58</v>
      </c>
      <c r="K41" s="12" t="str">
        <f t="shared" si="1"/>
        <v>Bubo bubo (Linnaeus, 1758)</v>
      </c>
      <c r="L41" s="12" t="str">
        <f t="shared" si="2"/>
        <v>Animalia|Chordata|Aves|Strigiformes|Strigidae|Bubo</v>
      </c>
      <c r="M41" s="12" t="s">
        <v>59</v>
      </c>
      <c r="N41" s="12" t="s">
        <v>60</v>
      </c>
      <c r="O41" s="12" t="s">
        <v>61</v>
      </c>
      <c r="P41" s="12" t="s">
        <v>241</v>
      </c>
      <c r="Q41" s="12" t="s">
        <v>242</v>
      </c>
      <c r="R41" s="12" t="s">
        <v>902</v>
      </c>
      <c r="S41" s="12" t="s">
        <v>246</v>
      </c>
      <c r="T41" s="12" t="s">
        <v>66</v>
      </c>
      <c r="U41" s="12" t="s">
        <v>247</v>
      </c>
      <c r="V41" s="12"/>
      <c r="W41" s="12" t="s">
        <v>68</v>
      </c>
      <c r="X41" s="12">
        <v>41.9</v>
      </c>
      <c r="Y41" s="12">
        <v>12.483333</v>
      </c>
      <c r="Z41" s="14" t="s">
        <v>69</v>
      </c>
      <c r="AA41" s="12">
        <v>36625</v>
      </c>
      <c r="AB41" s="12" t="str">
        <f t="shared" si="3"/>
        <v>41.9/12.483333</v>
      </c>
      <c r="AC41" s="13" t="s">
        <v>1473</v>
      </c>
      <c r="AD41" s="25">
        <v>46054</v>
      </c>
      <c r="AE41" s="14" t="s">
        <v>70</v>
      </c>
      <c r="AF41" s="14" t="s">
        <v>71</v>
      </c>
      <c r="AG41" s="14" t="s">
        <v>72</v>
      </c>
      <c r="AH41" s="12" t="str">
        <f t="shared" si="4"/>
        <v>Europa | Italy | Lazio | Rome</v>
      </c>
      <c r="AI41" s="12" t="s">
        <v>73</v>
      </c>
      <c r="AJ41" s="12"/>
      <c r="AK41" s="12" t="s">
        <v>74</v>
      </c>
      <c r="AL41" s="12" t="str">
        <f t="shared" si="5"/>
        <v>ITA</v>
      </c>
      <c r="AM41" s="12" t="s">
        <v>75</v>
      </c>
      <c r="AN41" s="12" t="s">
        <v>153</v>
      </c>
      <c r="AO41" s="12" t="s">
        <v>57</v>
      </c>
      <c r="AP41" s="12" t="s">
        <v>77</v>
      </c>
      <c r="AQ41" s="12" t="s">
        <v>78</v>
      </c>
      <c r="AR41" s="12" t="s">
        <v>79</v>
      </c>
      <c r="AS41" s="12" t="s">
        <v>1211</v>
      </c>
      <c r="AT41" s="12"/>
      <c r="AU41" s="12" t="s">
        <v>245</v>
      </c>
      <c r="AV41" s="12">
        <v>1</v>
      </c>
      <c r="AW41" s="12">
        <v>1</v>
      </c>
      <c r="AX41" s="12" t="s">
        <v>81</v>
      </c>
      <c r="AY41" s="12" t="s">
        <v>82</v>
      </c>
      <c r="AZ41" s="12" t="s">
        <v>83</v>
      </c>
      <c r="BA41" s="12" t="s">
        <v>84</v>
      </c>
      <c r="BB41" s="12"/>
      <c r="BC41" s="27" t="s">
        <v>1567</v>
      </c>
      <c r="BD41" s="27" t="s">
        <v>1568</v>
      </c>
      <c r="BE41" s="12"/>
    </row>
    <row r="42" spans="1:57" x14ac:dyDescent="0.25">
      <c r="A42" s="12" t="s">
        <v>248</v>
      </c>
      <c r="B42" s="12" t="s">
        <v>57</v>
      </c>
      <c r="C42" s="12">
        <v>1901</v>
      </c>
      <c r="D42" s="12"/>
      <c r="E42" s="23"/>
      <c r="F42" s="12">
        <f t="shared" si="0"/>
        <v>1901</v>
      </c>
      <c r="G42" s="12"/>
      <c r="H42" s="12"/>
      <c r="I42" s="24">
        <f t="shared" si="10"/>
        <v>1901</v>
      </c>
      <c r="J42" s="12" t="s">
        <v>86</v>
      </c>
      <c r="K42" s="12" t="str">
        <f t="shared" si="1"/>
        <v>Ardea purpurea (Linnaeus, 1766)</v>
      </c>
      <c r="L42" s="12" t="str">
        <f t="shared" si="2"/>
        <v>Animalia|Chordata|Aves|Pelecaniformes|Ardeidae|Ardea</v>
      </c>
      <c r="M42" s="12" t="s">
        <v>59</v>
      </c>
      <c r="N42" s="12" t="s">
        <v>60</v>
      </c>
      <c r="O42" s="12" t="s">
        <v>61</v>
      </c>
      <c r="P42" s="12" t="s">
        <v>231</v>
      </c>
      <c r="Q42" s="12" t="s">
        <v>232</v>
      </c>
      <c r="R42" s="12" t="s">
        <v>900</v>
      </c>
      <c r="S42" s="12" t="s">
        <v>236</v>
      </c>
      <c r="T42" s="12" t="s">
        <v>66</v>
      </c>
      <c r="U42" s="12" t="s">
        <v>237</v>
      </c>
      <c r="V42" s="12"/>
      <c r="W42" s="12" t="s">
        <v>68</v>
      </c>
      <c r="X42" s="12">
        <v>41.9</v>
      </c>
      <c r="Y42" s="12">
        <v>12.483333</v>
      </c>
      <c r="Z42" s="14" t="s">
        <v>69</v>
      </c>
      <c r="AA42" s="12" t="s">
        <v>1472</v>
      </c>
      <c r="AB42" s="12" t="str">
        <f t="shared" si="3"/>
        <v>41.9/12.483333</v>
      </c>
      <c r="AC42" s="13" t="s">
        <v>1473</v>
      </c>
      <c r="AD42" s="25">
        <v>46054</v>
      </c>
      <c r="AE42" s="14" t="s">
        <v>70</v>
      </c>
      <c r="AF42" s="14" t="s">
        <v>71</v>
      </c>
      <c r="AG42" s="14" t="s">
        <v>72</v>
      </c>
      <c r="AH42" s="12" t="str">
        <f t="shared" si="4"/>
        <v>Europa | Italy | Lazio | Maccarese</v>
      </c>
      <c r="AI42" s="12" t="s">
        <v>73</v>
      </c>
      <c r="AJ42" s="12"/>
      <c r="AK42" s="12" t="s">
        <v>74</v>
      </c>
      <c r="AL42" s="12" t="str">
        <f t="shared" si="5"/>
        <v>ITA</v>
      </c>
      <c r="AM42" s="12" t="s">
        <v>75</v>
      </c>
      <c r="AN42" s="12" t="s">
        <v>304</v>
      </c>
      <c r="AO42" s="12" t="s">
        <v>57</v>
      </c>
      <c r="AP42" s="12" t="s">
        <v>77</v>
      </c>
      <c r="AQ42" s="12" t="s">
        <v>78</v>
      </c>
      <c r="AR42" s="12" t="s">
        <v>79</v>
      </c>
      <c r="AS42" s="12" t="s">
        <v>1212</v>
      </c>
      <c r="AT42" s="12"/>
      <c r="AU42" s="12" t="s">
        <v>248</v>
      </c>
      <c r="AV42" s="12">
        <v>1</v>
      </c>
      <c r="AW42" s="12">
        <v>1</v>
      </c>
      <c r="AX42" s="12" t="s">
        <v>81</v>
      </c>
      <c r="AY42" s="12" t="s">
        <v>82</v>
      </c>
      <c r="AZ42" s="12" t="s">
        <v>83</v>
      </c>
      <c r="BA42" s="12" t="s">
        <v>84</v>
      </c>
      <c r="BB42" s="12"/>
      <c r="BC42" s="27" t="s">
        <v>1569</v>
      </c>
      <c r="BD42" s="27" t="s">
        <v>1570</v>
      </c>
      <c r="BE42" s="12"/>
    </row>
    <row r="43" spans="1:57" x14ac:dyDescent="0.25">
      <c r="A43" s="12" t="s">
        <v>249</v>
      </c>
      <c r="B43" s="12" t="s">
        <v>57</v>
      </c>
      <c r="C43" s="12">
        <v>1885</v>
      </c>
      <c r="D43" s="12"/>
      <c r="E43" s="23"/>
      <c r="F43" s="12">
        <f t="shared" si="0"/>
        <v>1885</v>
      </c>
      <c r="G43" s="12"/>
      <c r="H43" s="12"/>
      <c r="I43" s="24">
        <f t="shared" si="10"/>
        <v>1885</v>
      </c>
      <c r="J43" s="12" t="s">
        <v>58</v>
      </c>
      <c r="K43" s="12" t="str">
        <f t="shared" si="1"/>
        <v>Strix aluco (Linnaeus, 1758)</v>
      </c>
      <c r="L43" s="12" t="str">
        <f t="shared" si="2"/>
        <v>Animalia|Chordata|Aves|Strigiformes|Strigidae|Strix</v>
      </c>
      <c r="M43" s="12" t="s">
        <v>59</v>
      </c>
      <c r="N43" s="12" t="s">
        <v>60</v>
      </c>
      <c r="O43" s="12" t="s">
        <v>61</v>
      </c>
      <c r="P43" s="12" t="s">
        <v>241</v>
      </c>
      <c r="Q43" s="12" t="s">
        <v>242</v>
      </c>
      <c r="R43" s="12" t="s">
        <v>903</v>
      </c>
      <c r="S43" s="12" t="s">
        <v>250</v>
      </c>
      <c r="T43" s="12" t="s">
        <v>66</v>
      </c>
      <c r="U43" s="12" t="s">
        <v>251</v>
      </c>
      <c r="V43" s="12"/>
      <c r="W43" s="12" t="s">
        <v>68</v>
      </c>
      <c r="X43" s="12">
        <v>41.754738000000003</v>
      </c>
      <c r="Y43" s="12">
        <v>12.298970000000001</v>
      </c>
      <c r="Z43" s="14" t="s">
        <v>69</v>
      </c>
      <c r="AA43" s="12">
        <v>3959</v>
      </c>
      <c r="AB43" s="12" t="str">
        <f t="shared" si="3"/>
        <v>41.754738/12.29897</v>
      </c>
      <c r="AC43" s="13" t="s">
        <v>1473</v>
      </c>
      <c r="AD43" s="25">
        <v>46054</v>
      </c>
      <c r="AE43" s="14" t="s">
        <v>70</v>
      </c>
      <c r="AF43" s="14" t="s">
        <v>71</v>
      </c>
      <c r="AG43" s="14" t="s">
        <v>72</v>
      </c>
      <c r="AH43" s="12" t="str">
        <f t="shared" si="4"/>
        <v>Europa | Italy | Lazio | Ostia</v>
      </c>
      <c r="AI43" s="12" t="s">
        <v>73</v>
      </c>
      <c r="AJ43" s="12"/>
      <c r="AK43" s="12" t="s">
        <v>74</v>
      </c>
      <c r="AL43" s="12" t="str">
        <f t="shared" si="5"/>
        <v>ITA</v>
      </c>
      <c r="AM43" s="12" t="s">
        <v>75</v>
      </c>
      <c r="AN43" s="12" t="s">
        <v>252</v>
      </c>
      <c r="AO43" s="12" t="s">
        <v>57</v>
      </c>
      <c r="AP43" s="12" t="s">
        <v>77</v>
      </c>
      <c r="AQ43" s="12" t="s">
        <v>78</v>
      </c>
      <c r="AR43" s="12" t="s">
        <v>79</v>
      </c>
      <c r="AS43" s="12" t="s">
        <v>1213</v>
      </c>
      <c r="AT43" s="12" t="s">
        <v>92</v>
      </c>
      <c r="AU43" s="12" t="s">
        <v>249</v>
      </c>
      <c r="AV43" s="12">
        <v>1</v>
      </c>
      <c r="AW43" s="12">
        <v>1</v>
      </c>
      <c r="AX43" s="12" t="s">
        <v>81</v>
      </c>
      <c r="AY43" s="12" t="s">
        <v>82</v>
      </c>
      <c r="AZ43" s="12" t="s">
        <v>83</v>
      </c>
      <c r="BA43" s="12" t="s">
        <v>84</v>
      </c>
      <c r="BB43" s="12"/>
      <c r="BC43" s="27" t="s">
        <v>1571</v>
      </c>
      <c r="BD43" s="27" t="s">
        <v>1572</v>
      </c>
      <c r="BE43" s="12"/>
    </row>
    <row r="44" spans="1:57" x14ac:dyDescent="0.25">
      <c r="A44" s="12" t="s">
        <v>253</v>
      </c>
      <c r="B44" s="12" t="s">
        <v>57</v>
      </c>
      <c r="C44" s="12">
        <v>1959</v>
      </c>
      <c r="D44" s="12"/>
      <c r="E44" s="23"/>
      <c r="F44" s="12">
        <f t="shared" si="0"/>
        <v>1959</v>
      </c>
      <c r="G44" s="12"/>
      <c r="H44" s="12"/>
      <c r="I44" s="24">
        <f t="shared" si="10"/>
        <v>1959</v>
      </c>
      <c r="J44" s="12" t="s">
        <v>58</v>
      </c>
      <c r="K44" s="12" t="str">
        <f t="shared" si="1"/>
        <v>Otus scops (Linnaeus, 1758)</v>
      </c>
      <c r="L44" s="12" t="str">
        <f t="shared" si="2"/>
        <v>Animalia|Chordata|Aves|Strigiformes|Strigidae|Otus</v>
      </c>
      <c r="M44" s="12" t="s">
        <v>59</v>
      </c>
      <c r="N44" s="12" t="s">
        <v>60</v>
      </c>
      <c r="O44" s="12" t="s">
        <v>61</v>
      </c>
      <c r="P44" s="12" t="s">
        <v>241</v>
      </c>
      <c r="Q44" s="12" t="s">
        <v>242</v>
      </c>
      <c r="R44" s="12" t="s">
        <v>904</v>
      </c>
      <c r="S44" s="12" t="s">
        <v>254</v>
      </c>
      <c r="T44" s="12" t="s">
        <v>66</v>
      </c>
      <c r="U44" s="12" t="s">
        <v>255</v>
      </c>
      <c r="V44" s="12"/>
      <c r="W44" s="12" t="s">
        <v>68</v>
      </c>
      <c r="X44" s="12">
        <v>41.9</v>
      </c>
      <c r="Y44" s="12">
        <v>12.483333</v>
      </c>
      <c r="Z44" s="14" t="s">
        <v>69</v>
      </c>
      <c r="AA44" s="12">
        <v>36625</v>
      </c>
      <c r="AB44" s="12" t="str">
        <f t="shared" si="3"/>
        <v>41.9/12.483333</v>
      </c>
      <c r="AC44" s="13" t="s">
        <v>1473</v>
      </c>
      <c r="AD44" s="25">
        <v>46054</v>
      </c>
      <c r="AE44" s="14" t="s">
        <v>70</v>
      </c>
      <c r="AF44" s="14" t="s">
        <v>71</v>
      </c>
      <c r="AG44" s="14" t="s">
        <v>72</v>
      </c>
      <c r="AH44" s="12" t="str">
        <f t="shared" si="4"/>
        <v>Europa | Italy | Lazio | Rome</v>
      </c>
      <c r="AI44" s="12" t="s">
        <v>73</v>
      </c>
      <c r="AJ44" s="12"/>
      <c r="AK44" s="12" t="s">
        <v>74</v>
      </c>
      <c r="AL44" s="12" t="str">
        <f t="shared" si="5"/>
        <v>ITA</v>
      </c>
      <c r="AM44" s="12" t="s">
        <v>75</v>
      </c>
      <c r="AN44" s="12" t="s">
        <v>153</v>
      </c>
      <c r="AO44" s="12" t="s">
        <v>57</v>
      </c>
      <c r="AP44" s="12" t="s">
        <v>77</v>
      </c>
      <c r="AQ44" s="12" t="s">
        <v>78</v>
      </c>
      <c r="AR44" s="12" t="s">
        <v>79</v>
      </c>
      <c r="AS44" s="12" t="s">
        <v>1214</v>
      </c>
      <c r="AT44" s="12"/>
      <c r="AU44" s="12" t="s">
        <v>253</v>
      </c>
      <c r="AV44" s="12">
        <v>1</v>
      </c>
      <c r="AW44" s="12">
        <v>1</v>
      </c>
      <c r="AX44" s="12" t="s">
        <v>81</v>
      </c>
      <c r="AY44" s="12" t="s">
        <v>82</v>
      </c>
      <c r="AZ44" s="12" t="s">
        <v>83</v>
      </c>
      <c r="BA44" s="12" t="s">
        <v>84</v>
      </c>
      <c r="BB44" s="12"/>
      <c r="BC44" s="27" t="s">
        <v>1573</v>
      </c>
      <c r="BD44" s="27" t="s">
        <v>1574</v>
      </c>
      <c r="BE44" s="12"/>
    </row>
    <row r="45" spans="1:57" x14ac:dyDescent="0.25">
      <c r="A45" s="12" t="s">
        <v>256</v>
      </c>
      <c r="B45" s="12" t="s">
        <v>57</v>
      </c>
      <c r="C45" s="12">
        <v>1875</v>
      </c>
      <c r="D45" s="12"/>
      <c r="E45" s="23"/>
      <c r="F45" s="12">
        <f t="shared" si="0"/>
        <v>1875</v>
      </c>
      <c r="G45" s="12"/>
      <c r="H45" s="12"/>
      <c r="I45" s="24">
        <f t="shared" si="10"/>
        <v>1875</v>
      </c>
      <c r="J45" s="12" t="s">
        <v>240</v>
      </c>
      <c r="K45" s="12" t="str">
        <f t="shared" si="1"/>
        <v>Athene noctua (Scopoli, 1769)</v>
      </c>
      <c r="L45" s="12" t="str">
        <f t="shared" si="2"/>
        <v>Animalia|Chordata|Aves|Strigiformes|Strigidae|Athene</v>
      </c>
      <c r="M45" s="12" t="s">
        <v>59</v>
      </c>
      <c r="N45" s="12" t="s">
        <v>60</v>
      </c>
      <c r="O45" s="12" t="s">
        <v>61</v>
      </c>
      <c r="P45" s="12" t="s">
        <v>241</v>
      </c>
      <c r="Q45" s="12" t="s">
        <v>242</v>
      </c>
      <c r="R45" s="12" t="s">
        <v>901</v>
      </c>
      <c r="S45" s="12" t="s">
        <v>243</v>
      </c>
      <c r="T45" s="12" t="s">
        <v>66</v>
      </c>
      <c r="U45" s="12" t="s">
        <v>244</v>
      </c>
      <c r="V45" s="12"/>
      <c r="W45" s="12" t="s">
        <v>68</v>
      </c>
      <c r="X45" s="12">
        <v>41.9</v>
      </c>
      <c r="Y45" s="12">
        <v>12.483333</v>
      </c>
      <c r="Z45" s="14" t="s">
        <v>69</v>
      </c>
      <c r="AA45" s="12">
        <v>36625</v>
      </c>
      <c r="AB45" s="12" t="str">
        <f t="shared" si="3"/>
        <v>41.9/12.483333</v>
      </c>
      <c r="AC45" s="13" t="s">
        <v>1473</v>
      </c>
      <c r="AD45" s="25">
        <v>46054</v>
      </c>
      <c r="AE45" s="14" t="s">
        <v>70</v>
      </c>
      <c r="AF45" s="14" t="s">
        <v>71</v>
      </c>
      <c r="AG45" s="14" t="s">
        <v>72</v>
      </c>
      <c r="AH45" s="12" t="str">
        <f t="shared" si="4"/>
        <v>Europa | Italy | Lazio | Rome</v>
      </c>
      <c r="AI45" s="12" t="s">
        <v>73</v>
      </c>
      <c r="AJ45" s="12"/>
      <c r="AK45" s="12" t="s">
        <v>74</v>
      </c>
      <c r="AL45" s="12" t="str">
        <f t="shared" si="5"/>
        <v>ITA</v>
      </c>
      <c r="AM45" s="12" t="s">
        <v>75</v>
      </c>
      <c r="AN45" s="12" t="s">
        <v>153</v>
      </c>
      <c r="AO45" s="12" t="s">
        <v>57</v>
      </c>
      <c r="AP45" s="12" t="s">
        <v>77</v>
      </c>
      <c r="AQ45" s="12" t="s">
        <v>78</v>
      </c>
      <c r="AR45" s="12" t="s">
        <v>79</v>
      </c>
      <c r="AS45" s="12" t="s">
        <v>1215</v>
      </c>
      <c r="AT45" s="12"/>
      <c r="AU45" s="12" t="s">
        <v>256</v>
      </c>
      <c r="AV45" s="12">
        <v>1</v>
      </c>
      <c r="AW45" s="12">
        <v>1</v>
      </c>
      <c r="AX45" s="12" t="s">
        <v>81</v>
      </c>
      <c r="AY45" s="12" t="s">
        <v>82</v>
      </c>
      <c r="AZ45" s="12" t="s">
        <v>83</v>
      </c>
      <c r="BA45" s="12" t="s">
        <v>84</v>
      </c>
      <c r="BB45" s="12"/>
      <c r="BC45" s="27" t="s">
        <v>1575</v>
      </c>
      <c r="BD45" s="27" t="s">
        <v>1576</v>
      </c>
      <c r="BE45" s="12"/>
    </row>
    <row r="46" spans="1:57" x14ac:dyDescent="0.25">
      <c r="A46" s="12" t="s">
        <v>257</v>
      </c>
      <c r="B46" s="12" t="s">
        <v>57</v>
      </c>
      <c r="C46" s="12">
        <v>1973</v>
      </c>
      <c r="D46" s="12"/>
      <c r="E46" s="23"/>
      <c r="F46" s="12">
        <f t="shared" si="0"/>
        <v>1973</v>
      </c>
      <c r="G46" s="12"/>
      <c r="H46" s="12"/>
      <c r="I46" s="24">
        <f t="shared" si="10"/>
        <v>1973</v>
      </c>
      <c r="J46" s="12" t="s">
        <v>58</v>
      </c>
      <c r="K46" s="12" t="str">
        <f t="shared" si="1"/>
        <v>Buteo buteo (Linnaeus, 1758)</v>
      </c>
      <c r="L46" s="12" t="str">
        <f t="shared" si="2"/>
        <v>Animalia|Chordata|Aves|Accipitriformes|Accipitridae|Buteo</v>
      </c>
      <c r="M46" s="12" t="s">
        <v>59</v>
      </c>
      <c r="N46" s="12" t="s">
        <v>60</v>
      </c>
      <c r="O46" s="12" t="s">
        <v>61</v>
      </c>
      <c r="P46" s="12" t="s">
        <v>189</v>
      </c>
      <c r="Q46" s="12" t="s">
        <v>190</v>
      </c>
      <c r="R46" s="12" t="s">
        <v>890</v>
      </c>
      <c r="S46" s="12" t="s">
        <v>191</v>
      </c>
      <c r="T46" s="12" t="s">
        <v>66</v>
      </c>
      <c r="U46" s="12" t="s">
        <v>192</v>
      </c>
      <c r="V46" s="12" t="s">
        <v>1167</v>
      </c>
      <c r="W46" s="12" t="s">
        <v>68</v>
      </c>
      <c r="X46" s="12">
        <v>41.9</v>
      </c>
      <c r="Y46" s="12">
        <v>12.483333</v>
      </c>
      <c r="Z46" s="14" t="s">
        <v>69</v>
      </c>
      <c r="AA46" s="12">
        <v>36625</v>
      </c>
      <c r="AB46" s="12" t="str">
        <f t="shared" si="3"/>
        <v>41.9/12.483333</v>
      </c>
      <c r="AC46" s="13" t="s">
        <v>1473</v>
      </c>
      <c r="AD46" s="25">
        <v>46054</v>
      </c>
      <c r="AE46" s="14" t="s">
        <v>70</v>
      </c>
      <c r="AF46" s="14" t="s">
        <v>71</v>
      </c>
      <c r="AG46" s="14" t="s">
        <v>72</v>
      </c>
      <c r="AH46" s="12" t="str">
        <f t="shared" ref="AH46" si="12">_xlfn.TEXTJOIN(" | ",TRUE,AI46,AJ46,AK46,AM46,AN46)</f>
        <v>Europa | Italy | Lazio | Rome</v>
      </c>
      <c r="AI46" s="12" t="s">
        <v>73</v>
      </c>
      <c r="AJ46" s="12"/>
      <c r="AK46" s="12" t="s">
        <v>74</v>
      </c>
      <c r="AL46" s="12" t="str">
        <f t="shared" si="5"/>
        <v>ITA</v>
      </c>
      <c r="AM46" s="12" t="s">
        <v>75</v>
      </c>
      <c r="AN46" s="12" t="s">
        <v>153</v>
      </c>
      <c r="AO46" s="12" t="s">
        <v>57</v>
      </c>
      <c r="AP46" s="12" t="s">
        <v>77</v>
      </c>
      <c r="AQ46" s="12" t="s">
        <v>78</v>
      </c>
      <c r="AR46" s="12" t="s">
        <v>79</v>
      </c>
      <c r="AS46" s="12" t="s">
        <v>1216</v>
      </c>
      <c r="AT46" s="12"/>
      <c r="AU46" s="12" t="s">
        <v>257</v>
      </c>
      <c r="AV46" s="12">
        <v>1</v>
      </c>
      <c r="AW46" s="12">
        <v>1</v>
      </c>
      <c r="AX46" s="12" t="s">
        <v>81</v>
      </c>
      <c r="AY46" s="12" t="s">
        <v>82</v>
      </c>
      <c r="AZ46" s="12" t="s">
        <v>83</v>
      </c>
      <c r="BA46" s="12" t="s">
        <v>84</v>
      </c>
      <c r="BB46" s="12"/>
      <c r="BC46" s="27" t="s">
        <v>1577</v>
      </c>
      <c r="BD46" s="27" t="s">
        <v>1578</v>
      </c>
      <c r="BE46" s="12"/>
    </row>
    <row r="47" spans="1:57" x14ac:dyDescent="0.25">
      <c r="A47" s="12" t="s">
        <v>258</v>
      </c>
      <c r="B47" s="12" t="s">
        <v>57</v>
      </c>
      <c r="C47" s="25">
        <v>21468</v>
      </c>
      <c r="D47" s="12">
        <f t="shared" si="6"/>
        <v>283</v>
      </c>
      <c r="E47" s="23">
        <f t="shared" si="7"/>
        <v>283</v>
      </c>
      <c r="F47" s="12">
        <f t="shared" si="0"/>
        <v>1958</v>
      </c>
      <c r="G47" s="12">
        <f t="shared" si="8"/>
        <v>10</v>
      </c>
      <c r="H47" s="12">
        <f t="shared" si="9"/>
        <v>10</v>
      </c>
      <c r="I47" s="24">
        <f t="shared" si="10"/>
        <v>21468</v>
      </c>
      <c r="J47" s="12" t="s">
        <v>58</v>
      </c>
      <c r="K47" s="12" t="str">
        <f t="shared" si="1"/>
        <v>Mareca penelope (Linnaeus, 1758)</v>
      </c>
      <c r="L47" s="12" t="str">
        <f t="shared" si="2"/>
        <v>Animalia|Chordata|Aves|Anseriformes|Anatidae|Mareca</v>
      </c>
      <c r="M47" s="12" t="s">
        <v>59</v>
      </c>
      <c r="N47" s="12" t="s">
        <v>60</v>
      </c>
      <c r="O47" s="12" t="s">
        <v>61</v>
      </c>
      <c r="P47" s="12" t="s">
        <v>259</v>
      </c>
      <c r="Q47" s="12" t="s">
        <v>260</v>
      </c>
      <c r="R47" s="12" t="s">
        <v>905</v>
      </c>
      <c r="S47" s="12" t="s">
        <v>261</v>
      </c>
      <c r="T47" s="12" t="s">
        <v>66</v>
      </c>
      <c r="U47" s="12" t="s">
        <v>262</v>
      </c>
      <c r="V47" s="12" t="s">
        <v>1165</v>
      </c>
      <c r="W47" s="12" t="s">
        <v>68</v>
      </c>
      <c r="X47" s="12">
        <v>44.33014</v>
      </c>
      <c r="Y47" s="12">
        <v>7.4859239999999998</v>
      </c>
      <c r="Z47" s="14" t="s">
        <v>69</v>
      </c>
      <c r="AA47" s="12">
        <v>1929</v>
      </c>
      <c r="AB47" s="12" t="str">
        <f t="shared" si="3"/>
        <v>44.33014/7.485924</v>
      </c>
      <c r="AC47" s="13" t="s">
        <v>1473</v>
      </c>
      <c r="AD47" s="25">
        <v>46054</v>
      </c>
      <c r="AE47" s="14" t="s">
        <v>70</v>
      </c>
      <c r="AF47" s="14" t="s">
        <v>71</v>
      </c>
      <c r="AG47" s="14" t="s">
        <v>72</v>
      </c>
      <c r="AH47" s="12" t="str">
        <f t="shared" si="4"/>
        <v>Europa | Italy | Piedmont | Borgo San Dalmazzo</v>
      </c>
      <c r="AI47" s="12" t="s">
        <v>73</v>
      </c>
      <c r="AJ47" s="12"/>
      <c r="AK47" s="12" t="s">
        <v>74</v>
      </c>
      <c r="AL47" s="12" t="str">
        <f t="shared" si="5"/>
        <v>ITA</v>
      </c>
      <c r="AM47" s="12" t="s">
        <v>90</v>
      </c>
      <c r="AN47" s="12" t="s">
        <v>160</v>
      </c>
      <c r="AO47" s="12" t="s">
        <v>57</v>
      </c>
      <c r="AP47" s="12" t="s">
        <v>77</v>
      </c>
      <c r="AQ47" s="12" t="s">
        <v>78</v>
      </c>
      <c r="AR47" s="12" t="s">
        <v>79</v>
      </c>
      <c r="AS47" s="12" t="s">
        <v>1217</v>
      </c>
      <c r="AT47" s="12" t="s">
        <v>92</v>
      </c>
      <c r="AU47" s="12" t="s">
        <v>258</v>
      </c>
      <c r="AV47" s="12">
        <v>1</v>
      </c>
      <c r="AW47" s="12">
        <v>1</v>
      </c>
      <c r="AX47" s="12" t="s">
        <v>81</v>
      </c>
      <c r="AY47" s="12" t="s">
        <v>82</v>
      </c>
      <c r="AZ47" s="12" t="s">
        <v>83</v>
      </c>
      <c r="BA47" s="12" t="s">
        <v>84</v>
      </c>
      <c r="BB47" s="12"/>
      <c r="BC47" s="27" t="s">
        <v>1579</v>
      </c>
      <c r="BD47" s="27" t="s">
        <v>1580</v>
      </c>
      <c r="BE47" s="12"/>
    </row>
    <row r="48" spans="1:57" x14ac:dyDescent="0.25">
      <c r="A48" s="12" t="s">
        <v>263</v>
      </c>
      <c r="B48" s="12" t="s">
        <v>57</v>
      </c>
      <c r="C48" s="12">
        <v>1888</v>
      </c>
      <c r="D48" s="12"/>
      <c r="E48" s="23"/>
      <c r="F48" s="12">
        <f t="shared" si="0"/>
        <v>1888</v>
      </c>
      <c r="G48" s="12"/>
      <c r="H48" s="12"/>
      <c r="I48" s="24">
        <f t="shared" si="10"/>
        <v>1888</v>
      </c>
      <c r="J48" s="12" t="s">
        <v>58</v>
      </c>
      <c r="K48" s="12" t="str">
        <f t="shared" si="1"/>
        <v>Buteo buteo (Linnaeus, 1758)</v>
      </c>
      <c r="L48" s="12" t="str">
        <f t="shared" si="2"/>
        <v>Animalia|Chordata|Aves|Accipitriformes|Accipitridae|Buteo</v>
      </c>
      <c r="M48" s="12" t="s">
        <v>59</v>
      </c>
      <c r="N48" s="12" t="s">
        <v>60</v>
      </c>
      <c r="O48" s="12" t="s">
        <v>61</v>
      </c>
      <c r="P48" s="12" t="s">
        <v>189</v>
      </c>
      <c r="Q48" s="12" t="s">
        <v>190</v>
      </c>
      <c r="R48" s="12" t="s">
        <v>890</v>
      </c>
      <c r="S48" s="12" t="s">
        <v>191</v>
      </c>
      <c r="T48" s="12" t="s">
        <v>66</v>
      </c>
      <c r="U48" s="12" t="s">
        <v>192</v>
      </c>
      <c r="V48" s="12"/>
      <c r="W48" s="12" t="s">
        <v>68</v>
      </c>
      <c r="X48" s="12">
        <v>41.9</v>
      </c>
      <c r="Y48" s="12">
        <v>12.483333</v>
      </c>
      <c r="Z48" s="14" t="s">
        <v>69</v>
      </c>
      <c r="AA48" s="12">
        <v>36625</v>
      </c>
      <c r="AB48" s="12" t="str">
        <f t="shared" si="3"/>
        <v>41.9/12.483333</v>
      </c>
      <c r="AC48" s="13" t="s">
        <v>1473</v>
      </c>
      <c r="AD48" s="25">
        <v>46054</v>
      </c>
      <c r="AE48" s="14" t="s">
        <v>70</v>
      </c>
      <c r="AF48" s="14" t="s">
        <v>71</v>
      </c>
      <c r="AG48" s="14" t="s">
        <v>72</v>
      </c>
      <c r="AH48" s="12" t="str">
        <f t="shared" si="4"/>
        <v>Europa | Italy | Lazio | Rome</v>
      </c>
      <c r="AI48" s="12" t="s">
        <v>73</v>
      </c>
      <c r="AJ48" s="12"/>
      <c r="AK48" s="12" t="s">
        <v>74</v>
      </c>
      <c r="AL48" s="12" t="str">
        <f t="shared" si="5"/>
        <v>ITA</v>
      </c>
      <c r="AM48" s="12" t="s">
        <v>75</v>
      </c>
      <c r="AN48" s="12" t="s">
        <v>153</v>
      </c>
      <c r="AO48" s="12" t="s">
        <v>57</v>
      </c>
      <c r="AP48" s="12" t="s">
        <v>77</v>
      </c>
      <c r="AQ48" s="12" t="s">
        <v>78</v>
      </c>
      <c r="AR48" s="12" t="s">
        <v>79</v>
      </c>
      <c r="AS48" s="12" t="s">
        <v>1218</v>
      </c>
      <c r="AT48" s="12" t="s">
        <v>92</v>
      </c>
      <c r="AU48" s="12" t="s">
        <v>263</v>
      </c>
      <c r="AV48" s="12">
        <v>1</v>
      </c>
      <c r="AW48" s="12">
        <v>1</v>
      </c>
      <c r="AX48" s="12" t="s">
        <v>81</v>
      </c>
      <c r="AY48" s="12" t="s">
        <v>82</v>
      </c>
      <c r="AZ48" s="12" t="s">
        <v>83</v>
      </c>
      <c r="BA48" s="12" t="s">
        <v>84</v>
      </c>
      <c r="BB48" s="12"/>
      <c r="BC48" s="27" t="s">
        <v>1581</v>
      </c>
      <c r="BD48" s="27" t="s">
        <v>1582</v>
      </c>
      <c r="BE48" s="12"/>
    </row>
    <row r="49" spans="1:57" x14ac:dyDescent="0.25">
      <c r="A49" s="12" t="s">
        <v>264</v>
      </c>
      <c r="B49" s="12" t="s">
        <v>57</v>
      </c>
      <c r="C49" s="12">
        <v>1975</v>
      </c>
      <c r="D49" s="12"/>
      <c r="E49" s="23"/>
      <c r="F49" s="12">
        <f t="shared" si="0"/>
        <v>1975</v>
      </c>
      <c r="G49" s="12"/>
      <c r="H49" s="12"/>
      <c r="I49" s="24">
        <f t="shared" si="10"/>
        <v>1975</v>
      </c>
      <c r="J49" s="12" t="s">
        <v>58</v>
      </c>
      <c r="K49" s="12" t="str">
        <f t="shared" si="1"/>
        <v>Aythya ferina (Linnaeus, 1758)</v>
      </c>
      <c r="L49" s="12" t="str">
        <f t="shared" si="2"/>
        <v>Animalia|Chordata|Aves|Anseriformes|Anatidae|Aythya</v>
      </c>
      <c r="M49" s="12" t="s">
        <v>59</v>
      </c>
      <c r="N49" s="12" t="s">
        <v>60</v>
      </c>
      <c r="O49" s="12" t="s">
        <v>61</v>
      </c>
      <c r="P49" s="12" t="s">
        <v>259</v>
      </c>
      <c r="Q49" s="12" t="s">
        <v>260</v>
      </c>
      <c r="R49" s="12" t="s">
        <v>906</v>
      </c>
      <c r="S49" s="12" t="s">
        <v>265</v>
      </c>
      <c r="T49" s="12" t="s">
        <v>66</v>
      </c>
      <c r="U49" s="12" t="s">
        <v>266</v>
      </c>
      <c r="V49" s="12" t="s">
        <v>1165</v>
      </c>
      <c r="W49" s="12" t="s">
        <v>68</v>
      </c>
      <c r="X49" s="12">
        <v>45.082614999999997</v>
      </c>
      <c r="Y49" s="12">
        <v>12.287164000000001</v>
      </c>
      <c r="Z49" s="14" t="s">
        <v>69</v>
      </c>
      <c r="AA49" s="12">
        <v>7136</v>
      </c>
      <c r="AB49" s="12" t="str">
        <f t="shared" si="3"/>
        <v>45.082615/12.287164</v>
      </c>
      <c r="AC49" s="13" t="s">
        <v>1473</v>
      </c>
      <c r="AD49" s="25">
        <v>46054</v>
      </c>
      <c r="AE49" s="14" t="s">
        <v>70</v>
      </c>
      <c r="AF49" s="14" t="s">
        <v>71</v>
      </c>
      <c r="AG49" s="14" t="s">
        <v>72</v>
      </c>
      <c r="AH49" s="12" t="str">
        <f t="shared" si="4"/>
        <v>Italy | Piedmont | Casale Monferrato</v>
      </c>
      <c r="AI49" s="12"/>
      <c r="AJ49" s="12"/>
      <c r="AK49" s="12" t="s">
        <v>74</v>
      </c>
      <c r="AL49" s="12" t="str">
        <f t="shared" si="5"/>
        <v>ITA</v>
      </c>
      <c r="AM49" s="12" t="s">
        <v>90</v>
      </c>
      <c r="AN49" s="12" t="s">
        <v>310</v>
      </c>
      <c r="AO49" s="12" t="s">
        <v>57</v>
      </c>
      <c r="AP49" s="12" t="s">
        <v>77</v>
      </c>
      <c r="AQ49" s="12" t="s">
        <v>78</v>
      </c>
      <c r="AR49" s="12" t="s">
        <v>79</v>
      </c>
      <c r="AS49" s="12" t="s">
        <v>1219</v>
      </c>
      <c r="AT49" s="12" t="s">
        <v>80</v>
      </c>
      <c r="AU49" s="12" t="s">
        <v>264</v>
      </c>
      <c r="AV49" s="12">
        <v>1</v>
      </c>
      <c r="AW49" s="12">
        <v>1</v>
      </c>
      <c r="AX49" s="12" t="s">
        <v>81</v>
      </c>
      <c r="AY49" s="12" t="s">
        <v>82</v>
      </c>
      <c r="AZ49" s="12" t="s">
        <v>83</v>
      </c>
      <c r="BA49" s="12" t="s">
        <v>84</v>
      </c>
      <c r="BB49" s="12"/>
      <c r="BC49" s="27" t="s">
        <v>1583</v>
      </c>
      <c r="BD49" s="27" t="s">
        <v>1584</v>
      </c>
      <c r="BE49" s="12"/>
    </row>
    <row r="50" spans="1:57" x14ac:dyDescent="0.25">
      <c r="A50" s="12" t="s">
        <v>267</v>
      </c>
      <c r="B50" s="12" t="s">
        <v>57</v>
      </c>
      <c r="C50" s="25">
        <v>21500</v>
      </c>
      <c r="D50" s="12">
        <f t="shared" si="6"/>
        <v>315</v>
      </c>
      <c r="E50" s="23">
        <f t="shared" si="7"/>
        <v>315</v>
      </c>
      <c r="F50" s="12">
        <f t="shared" si="0"/>
        <v>1958</v>
      </c>
      <c r="G50" s="12">
        <f t="shared" si="8"/>
        <v>11</v>
      </c>
      <c r="H50" s="12">
        <f t="shared" si="9"/>
        <v>11</v>
      </c>
      <c r="I50" s="24">
        <f t="shared" si="10"/>
        <v>21500</v>
      </c>
      <c r="J50" s="12" t="s">
        <v>58</v>
      </c>
      <c r="K50" s="12" t="str">
        <f t="shared" si="1"/>
        <v>Anas crecca (Linnaeus, 1758)</v>
      </c>
      <c r="L50" s="12" t="str">
        <f t="shared" si="2"/>
        <v>Animalia|Chordata|Aves|Anseriformes|Anatidae|Anas</v>
      </c>
      <c r="M50" s="12" t="s">
        <v>59</v>
      </c>
      <c r="N50" s="12" t="s">
        <v>60</v>
      </c>
      <c r="O50" s="12" t="s">
        <v>61</v>
      </c>
      <c r="P50" s="12" t="s">
        <v>259</v>
      </c>
      <c r="Q50" s="12" t="s">
        <v>260</v>
      </c>
      <c r="R50" s="12" t="s">
        <v>907</v>
      </c>
      <c r="S50" s="12" t="s">
        <v>268</v>
      </c>
      <c r="T50" s="12" t="s">
        <v>66</v>
      </c>
      <c r="U50" s="12" t="s">
        <v>269</v>
      </c>
      <c r="V50" s="12" t="s">
        <v>1165</v>
      </c>
      <c r="W50" s="12" t="s">
        <v>68</v>
      </c>
      <c r="X50" s="12">
        <v>45.133333</v>
      </c>
      <c r="Y50" s="12">
        <v>8.4499999999999993</v>
      </c>
      <c r="Z50" s="14" t="s">
        <v>69</v>
      </c>
      <c r="AA50" s="12">
        <v>2000</v>
      </c>
      <c r="AB50" s="12" t="str">
        <f t="shared" si="3"/>
        <v>45.133333/8.45</v>
      </c>
      <c r="AC50" s="13" t="s">
        <v>1473</v>
      </c>
      <c r="AD50" s="25">
        <v>46054</v>
      </c>
      <c r="AE50" s="14" t="s">
        <v>70</v>
      </c>
      <c r="AF50" s="14" t="s">
        <v>71</v>
      </c>
      <c r="AG50" s="14" t="s">
        <v>72</v>
      </c>
      <c r="AH50" s="12" t="str">
        <f t="shared" si="4"/>
        <v>Europa | Italy | Piedmont | Borgo San Dalmazzo</v>
      </c>
      <c r="AI50" s="12" t="s">
        <v>73</v>
      </c>
      <c r="AJ50" s="12"/>
      <c r="AK50" s="12" t="s">
        <v>74</v>
      </c>
      <c r="AL50" s="12" t="str">
        <f t="shared" si="5"/>
        <v>ITA</v>
      </c>
      <c r="AM50" s="12" t="s">
        <v>90</v>
      </c>
      <c r="AN50" s="12" t="s">
        <v>160</v>
      </c>
      <c r="AO50" s="12" t="s">
        <v>57</v>
      </c>
      <c r="AP50" s="12" t="s">
        <v>77</v>
      </c>
      <c r="AQ50" s="12" t="s">
        <v>78</v>
      </c>
      <c r="AR50" s="12" t="s">
        <v>79</v>
      </c>
      <c r="AS50" s="12" t="s">
        <v>1220</v>
      </c>
      <c r="AT50" s="12"/>
      <c r="AU50" s="12" t="s">
        <v>267</v>
      </c>
      <c r="AV50" s="12">
        <v>1</v>
      </c>
      <c r="AW50" s="12">
        <v>1</v>
      </c>
      <c r="AX50" s="12" t="s">
        <v>81</v>
      </c>
      <c r="AY50" s="12" t="s">
        <v>82</v>
      </c>
      <c r="AZ50" s="12" t="s">
        <v>83</v>
      </c>
      <c r="BA50" s="12" t="s">
        <v>84</v>
      </c>
      <c r="BB50" s="12"/>
      <c r="BC50" s="27" t="s">
        <v>1585</v>
      </c>
      <c r="BD50" s="27" t="s">
        <v>1586</v>
      </c>
      <c r="BE50" s="12"/>
    </row>
    <row r="51" spans="1:57" x14ac:dyDescent="0.25">
      <c r="A51" s="12" t="s">
        <v>270</v>
      </c>
      <c r="B51" s="12" t="s">
        <v>57</v>
      </c>
      <c r="C51" s="25">
        <v>28579</v>
      </c>
      <c r="D51" s="12">
        <f t="shared" si="6"/>
        <v>89</v>
      </c>
      <c r="E51" s="23">
        <f t="shared" si="7"/>
        <v>89</v>
      </c>
      <c r="F51" s="12">
        <f t="shared" si="0"/>
        <v>1978</v>
      </c>
      <c r="G51" s="12">
        <f t="shared" si="8"/>
        <v>3</v>
      </c>
      <c r="H51" s="12">
        <f t="shared" si="9"/>
        <v>30</v>
      </c>
      <c r="I51" s="24">
        <f t="shared" si="10"/>
        <v>28579</v>
      </c>
      <c r="J51" s="12" t="s">
        <v>58</v>
      </c>
      <c r="K51" s="12" t="str">
        <f t="shared" si="1"/>
        <v>Spatula querquedula (Linnaeus, 1758)</v>
      </c>
      <c r="L51" s="12" t="str">
        <f t="shared" si="2"/>
        <v>Animalia|Chordata|Aves|Anseriformes|Anatidae|Spatula</v>
      </c>
      <c r="M51" s="12" t="s">
        <v>59</v>
      </c>
      <c r="N51" s="12" t="s">
        <v>60</v>
      </c>
      <c r="O51" s="12" t="s">
        <v>61</v>
      </c>
      <c r="P51" s="12" t="s">
        <v>259</v>
      </c>
      <c r="Q51" s="12" t="s">
        <v>260</v>
      </c>
      <c r="R51" s="12" t="s">
        <v>908</v>
      </c>
      <c r="S51" s="12" t="s">
        <v>271</v>
      </c>
      <c r="T51" s="12" t="s">
        <v>66</v>
      </c>
      <c r="U51" s="12" t="s">
        <v>272</v>
      </c>
      <c r="V51" s="12" t="s">
        <v>1167</v>
      </c>
      <c r="W51" s="12" t="s">
        <v>68</v>
      </c>
      <c r="X51" s="12">
        <v>42.25</v>
      </c>
      <c r="Y51" s="12">
        <v>11.75</v>
      </c>
      <c r="Z51" s="14" t="s">
        <v>69</v>
      </c>
      <c r="AA51" s="12">
        <v>2539</v>
      </c>
      <c r="AB51" s="12" t="str">
        <f t="shared" si="3"/>
        <v>42.25/11.75</v>
      </c>
      <c r="AC51" s="13" t="s">
        <v>1473</v>
      </c>
      <c r="AD51" s="25">
        <v>46054</v>
      </c>
      <c r="AE51" s="14" t="s">
        <v>70</v>
      </c>
      <c r="AF51" s="14" t="s">
        <v>71</v>
      </c>
      <c r="AG51" s="14" t="s">
        <v>72</v>
      </c>
      <c r="AH51" s="12" t="str">
        <f t="shared" si="4"/>
        <v>Europa | Italy | Lazio | Tarquinia</v>
      </c>
      <c r="AI51" s="12" t="s">
        <v>73</v>
      </c>
      <c r="AJ51" s="12"/>
      <c r="AK51" s="12" t="s">
        <v>74</v>
      </c>
      <c r="AL51" s="12" t="str">
        <f t="shared" si="5"/>
        <v>ITA</v>
      </c>
      <c r="AM51" s="12" t="s">
        <v>75</v>
      </c>
      <c r="AN51" s="12" t="s">
        <v>273</v>
      </c>
      <c r="AO51" s="12" t="s">
        <v>57</v>
      </c>
      <c r="AP51" s="12" t="s">
        <v>77</v>
      </c>
      <c r="AQ51" s="12" t="s">
        <v>78</v>
      </c>
      <c r="AR51" s="12" t="s">
        <v>79</v>
      </c>
      <c r="AS51" s="12" t="s">
        <v>1221</v>
      </c>
      <c r="AT51" s="12" t="s">
        <v>80</v>
      </c>
      <c r="AU51" s="12" t="s">
        <v>270</v>
      </c>
      <c r="AV51" s="12">
        <v>1</v>
      </c>
      <c r="AW51" s="12">
        <v>1</v>
      </c>
      <c r="AX51" s="12" t="s">
        <v>81</v>
      </c>
      <c r="AY51" s="12" t="s">
        <v>82</v>
      </c>
      <c r="AZ51" s="12" t="s">
        <v>83</v>
      </c>
      <c r="BA51" s="12" t="s">
        <v>84</v>
      </c>
      <c r="BB51" s="12"/>
      <c r="BC51" s="27" t="s">
        <v>1587</v>
      </c>
      <c r="BD51" s="27" t="s">
        <v>1588</v>
      </c>
      <c r="BE51" s="12"/>
    </row>
    <row r="52" spans="1:57" x14ac:dyDescent="0.25">
      <c r="A52" s="12" t="s">
        <v>274</v>
      </c>
      <c r="B52" s="12" t="s">
        <v>57</v>
      </c>
      <c r="C52" s="12">
        <v>1960</v>
      </c>
      <c r="D52" s="12"/>
      <c r="E52" s="23"/>
      <c r="F52" s="12">
        <f t="shared" si="0"/>
        <v>1960</v>
      </c>
      <c r="G52" s="12"/>
      <c r="H52" s="12"/>
      <c r="I52" s="24">
        <f t="shared" si="10"/>
        <v>1960</v>
      </c>
      <c r="J52" s="12" t="s">
        <v>58</v>
      </c>
      <c r="K52" s="12" t="str">
        <f t="shared" si="1"/>
        <v>Aythya ferina (Linnaeus, 1758)</v>
      </c>
      <c r="L52" s="12" t="str">
        <f t="shared" si="2"/>
        <v>Animalia|Chordata|Aves|Anseriformes|Anatidae|Aythya</v>
      </c>
      <c r="M52" s="12" t="s">
        <v>59</v>
      </c>
      <c r="N52" s="12" t="s">
        <v>60</v>
      </c>
      <c r="O52" s="12" t="s">
        <v>61</v>
      </c>
      <c r="P52" s="12" t="s">
        <v>259</v>
      </c>
      <c r="Q52" s="12" t="s">
        <v>260</v>
      </c>
      <c r="R52" s="12" t="s">
        <v>906</v>
      </c>
      <c r="S52" s="12" t="s">
        <v>265</v>
      </c>
      <c r="T52" s="12" t="s">
        <v>66</v>
      </c>
      <c r="U52" s="12" t="s">
        <v>266</v>
      </c>
      <c r="V52" s="12"/>
      <c r="W52" s="12" t="s">
        <v>68</v>
      </c>
      <c r="X52" s="12">
        <v>41.9</v>
      </c>
      <c r="Y52" s="12">
        <v>12.483333</v>
      </c>
      <c r="Z52" s="14" t="s">
        <v>69</v>
      </c>
      <c r="AA52" s="12">
        <v>36625</v>
      </c>
      <c r="AB52" s="12" t="str">
        <f t="shared" si="3"/>
        <v>41.9/12.483333</v>
      </c>
      <c r="AC52" s="13" t="s">
        <v>1473</v>
      </c>
      <c r="AD52" s="25">
        <v>46054</v>
      </c>
      <c r="AE52" s="14" t="s">
        <v>70</v>
      </c>
      <c r="AF52" s="14" t="s">
        <v>71</v>
      </c>
      <c r="AG52" s="14" t="s">
        <v>72</v>
      </c>
      <c r="AH52" s="12" t="str">
        <f t="shared" si="4"/>
        <v>Europa | Italy | Lazio | Rome</v>
      </c>
      <c r="AI52" s="12" t="s">
        <v>73</v>
      </c>
      <c r="AJ52" s="12"/>
      <c r="AK52" s="12" t="s">
        <v>74</v>
      </c>
      <c r="AL52" s="12" t="str">
        <f t="shared" si="5"/>
        <v>ITA</v>
      </c>
      <c r="AM52" s="12" t="s">
        <v>75</v>
      </c>
      <c r="AN52" s="12" t="s">
        <v>153</v>
      </c>
      <c r="AO52" s="12" t="s">
        <v>57</v>
      </c>
      <c r="AP52" s="12" t="s">
        <v>77</v>
      </c>
      <c r="AQ52" s="12" t="s">
        <v>78</v>
      </c>
      <c r="AR52" s="12" t="s">
        <v>79</v>
      </c>
      <c r="AS52" s="12" t="s">
        <v>1222</v>
      </c>
      <c r="AT52" s="12" t="s">
        <v>92</v>
      </c>
      <c r="AU52" s="12" t="s">
        <v>274</v>
      </c>
      <c r="AV52" s="12">
        <v>1</v>
      </c>
      <c r="AW52" s="12">
        <v>1</v>
      </c>
      <c r="AX52" s="12" t="s">
        <v>81</v>
      </c>
      <c r="AY52" s="12" t="s">
        <v>82</v>
      </c>
      <c r="AZ52" s="12" t="s">
        <v>83</v>
      </c>
      <c r="BA52" s="12" t="s">
        <v>84</v>
      </c>
      <c r="BB52" s="12"/>
      <c r="BC52" s="27" t="s">
        <v>1589</v>
      </c>
      <c r="BD52" s="27" t="s">
        <v>1590</v>
      </c>
      <c r="BE52" s="12"/>
    </row>
    <row r="53" spans="1:57" x14ac:dyDescent="0.25">
      <c r="A53" s="12" t="s">
        <v>275</v>
      </c>
      <c r="B53" s="12" t="s">
        <v>57</v>
      </c>
      <c r="C53" s="12">
        <v>1890</v>
      </c>
      <c r="D53" s="12"/>
      <c r="E53" s="23"/>
      <c r="F53" s="12">
        <f t="shared" si="0"/>
        <v>1890</v>
      </c>
      <c r="G53" s="12"/>
      <c r="H53" s="12"/>
      <c r="I53" s="24">
        <f t="shared" si="10"/>
        <v>1890</v>
      </c>
      <c r="J53" s="12" t="s">
        <v>58</v>
      </c>
      <c r="K53" s="12" t="str">
        <f t="shared" si="1"/>
        <v>Spatula clypeata (Linnaeus, 1758)</v>
      </c>
      <c r="L53" s="12" t="str">
        <f t="shared" si="2"/>
        <v>Animalia|Chordata|Aves|Anseriformes|Anatidae|Spatula</v>
      </c>
      <c r="M53" s="12" t="s">
        <v>59</v>
      </c>
      <c r="N53" s="12" t="s">
        <v>60</v>
      </c>
      <c r="O53" s="12" t="s">
        <v>61</v>
      </c>
      <c r="P53" s="12" t="s">
        <v>259</v>
      </c>
      <c r="Q53" s="12" t="s">
        <v>260</v>
      </c>
      <c r="R53" s="12" t="s">
        <v>908</v>
      </c>
      <c r="S53" s="12" t="s">
        <v>276</v>
      </c>
      <c r="T53" s="12" t="s">
        <v>66</v>
      </c>
      <c r="U53" s="12" t="s">
        <v>277</v>
      </c>
      <c r="V53" s="12" t="s">
        <v>1167</v>
      </c>
      <c r="W53" s="12" t="s">
        <v>68</v>
      </c>
      <c r="X53" s="12">
        <v>41.9</v>
      </c>
      <c r="Y53" s="12">
        <v>12.483333</v>
      </c>
      <c r="Z53" s="14" t="s">
        <v>69</v>
      </c>
      <c r="AA53" s="12">
        <v>36625</v>
      </c>
      <c r="AB53" s="12" t="str">
        <f t="shared" si="3"/>
        <v>41.9/12.483333</v>
      </c>
      <c r="AC53" s="13" t="s">
        <v>1473</v>
      </c>
      <c r="AD53" s="25">
        <v>46054</v>
      </c>
      <c r="AE53" s="14" t="s">
        <v>70</v>
      </c>
      <c r="AF53" s="14" t="s">
        <v>71</v>
      </c>
      <c r="AG53" s="14" t="s">
        <v>72</v>
      </c>
      <c r="AH53" s="12" t="str">
        <f t="shared" si="4"/>
        <v>Europa | Italy | Lazio | Roma</v>
      </c>
      <c r="AI53" s="12" t="s">
        <v>73</v>
      </c>
      <c r="AJ53" s="12"/>
      <c r="AK53" s="12" t="s">
        <v>74</v>
      </c>
      <c r="AL53" s="12" t="str">
        <f t="shared" si="5"/>
        <v>ITA</v>
      </c>
      <c r="AM53" s="12" t="s">
        <v>75</v>
      </c>
      <c r="AN53" s="12" t="s">
        <v>1475</v>
      </c>
      <c r="AO53" s="12" t="s">
        <v>57</v>
      </c>
      <c r="AP53" s="12" t="s">
        <v>77</v>
      </c>
      <c r="AQ53" s="12" t="s">
        <v>78</v>
      </c>
      <c r="AR53" s="12" t="s">
        <v>79</v>
      </c>
      <c r="AS53" s="12" t="s">
        <v>1223</v>
      </c>
      <c r="AT53" s="12"/>
      <c r="AU53" s="12" t="s">
        <v>275</v>
      </c>
      <c r="AV53" s="12">
        <v>1</v>
      </c>
      <c r="AW53" s="12">
        <v>1</v>
      </c>
      <c r="AX53" s="12" t="s">
        <v>81</v>
      </c>
      <c r="AY53" s="12" t="s">
        <v>82</v>
      </c>
      <c r="AZ53" s="12" t="s">
        <v>83</v>
      </c>
      <c r="BA53" s="12" t="s">
        <v>84</v>
      </c>
      <c r="BB53" s="12"/>
      <c r="BC53" s="27" t="s">
        <v>1591</v>
      </c>
      <c r="BD53" s="27" t="s">
        <v>1592</v>
      </c>
      <c r="BE53" s="12"/>
    </row>
    <row r="54" spans="1:57" x14ac:dyDescent="0.25">
      <c r="A54" s="12" t="s">
        <v>278</v>
      </c>
      <c r="B54" s="12" t="s">
        <v>57</v>
      </c>
      <c r="C54" s="12">
        <v>1875</v>
      </c>
      <c r="D54" s="12"/>
      <c r="E54" s="23"/>
      <c r="F54" s="12">
        <f t="shared" si="0"/>
        <v>1875</v>
      </c>
      <c r="G54" s="12"/>
      <c r="H54" s="12"/>
      <c r="I54" s="24">
        <f t="shared" si="10"/>
        <v>1875</v>
      </c>
      <c r="J54" s="12" t="s">
        <v>58</v>
      </c>
      <c r="K54" s="12" t="str">
        <f t="shared" si="1"/>
        <v>Anas platyrhynchos (Linnaeus, 1758)</v>
      </c>
      <c r="L54" s="12" t="str">
        <f t="shared" si="2"/>
        <v>Animalia|Chordata|Aves|Anseriformes|Anatidae|Anas</v>
      </c>
      <c r="M54" s="12" t="s">
        <v>59</v>
      </c>
      <c r="N54" s="12" t="s">
        <v>60</v>
      </c>
      <c r="O54" s="12" t="s">
        <v>61</v>
      </c>
      <c r="P54" s="12" t="s">
        <v>259</v>
      </c>
      <c r="Q54" s="12" t="s">
        <v>260</v>
      </c>
      <c r="R54" s="12" t="s">
        <v>907</v>
      </c>
      <c r="S54" s="12" t="s">
        <v>279</v>
      </c>
      <c r="T54" s="12" t="s">
        <v>66</v>
      </c>
      <c r="U54" s="12" t="s">
        <v>280</v>
      </c>
      <c r="V54" s="12" t="s">
        <v>1167</v>
      </c>
      <c r="W54" s="12" t="s">
        <v>68</v>
      </c>
      <c r="X54" s="12">
        <v>41.9</v>
      </c>
      <c r="Y54" s="12">
        <v>12.483333</v>
      </c>
      <c r="Z54" s="14" t="s">
        <v>69</v>
      </c>
      <c r="AA54" s="12">
        <v>36625</v>
      </c>
      <c r="AB54" s="12" t="str">
        <f t="shared" si="3"/>
        <v>41.9/12.483333</v>
      </c>
      <c r="AC54" s="13" t="s">
        <v>1473</v>
      </c>
      <c r="AD54" s="25">
        <v>46054</v>
      </c>
      <c r="AE54" s="14" t="s">
        <v>70</v>
      </c>
      <c r="AF54" s="14" t="s">
        <v>71</v>
      </c>
      <c r="AG54" s="14" t="s">
        <v>72</v>
      </c>
      <c r="AH54" s="12" t="str">
        <f t="shared" si="4"/>
        <v>Europa | Italy | Lazio | Rome</v>
      </c>
      <c r="AI54" s="12" t="s">
        <v>73</v>
      </c>
      <c r="AJ54" s="12"/>
      <c r="AK54" s="12" t="s">
        <v>74</v>
      </c>
      <c r="AL54" s="12" t="str">
        <f t="shared" si="5"/>
        <v>ITA</v>
      </c>
      <c r="AM54" s="12" t="s">
        <v>75</v>
      </c>
      <c r="AN54" s="12" t="s">
        <v>153</v>
      </c>
      <c r="AO54" s="12" t="s">
        <v>57</v>
      </c>
      <c r="AP54" s="12" t="s">
        <v>77</v>
      </c>
      <c r="AQ54" s="12" t="s">
        <v>78</v>
      </c>
      <c r="AR54" s="12" t="s">
        <v>79</v>
      </c>
      <c r="AS54" s="12" t="s">
        <v>1224</v>
      </c>
      <c r="AT54" s="12" t="s">
        <v>92</v>
      </c>
      <c r="AU54" s="12" t="s">
        <v>278</v>
      </c>
      <c r="AV54" s="12">
        <v>1</v>
      </c>
      <c r="AW54" s="12">
        <v>1</v>
      </c>
      <c r="AX54" s="12" t="s">
        <v>81</v>
      </c>
      <c r="AY54" s="12" t="s">
        <v>82</v>
      </c>
      <c r="AZ54" s="12" t="s">
        <v>83</v>
      </c>
      <c r="BA54" s="12" t="s">
        <v>84</v>
      </c>
      <c r="BB54" s="12"/>
      <c r="BC54" s="27" t="s">
        <v>1593</v>
      </c>
      <c r="BD54" s="27" t="s">
        <v>1594</v>
      </c>
      <c r="BE54" s="12"/>
    </row>
    <row r="55" spans="1:57" x14ac:dyDescent="0.25">
      <c r="A55" s="12" t="s">
        <v>281</v>
      </c>
      <c r="B55" s="12" t="s">
        <v>57</v>
      </c>
      <c r="C55" s="12">
        <v>1978</v>
      </c>
      <c r="D55" s="12"/>
      <c r="E55" s="23"/>
      <c r="F55" s="12">
        <f t="shared" si="0"/>
        <v>1978</v>
      </c>
      <c r="G55" s="12"/>
      <c r="H55" s="12"/>
      <c r="I55" s="24">
        <f t="shared" si="10"/>
        <v>1978</v>
      </c>
      <c r="J55" s="12" t="s">
        <v>282</v>
      </c>
      <c r="K55" s="12" t="str">
        <f t="shared" si="1"/>
        <v>Aythya nyroca (Guldenstadt, 1770)</v>
      </c>
      <c r="L55" s="12" t="str">
        <f t="shared" si="2"/>
        <v>Animalia|Chordata|Aves|Anseriformes|Anatidae|Aythya</v>
      </c>
      <c r="M55" s="12" t="s">
        <v>59</v>
      </c>
      <c r="N55" s="12" t="s">
        <v>60</v>
      </c>
      <c r="O55" s="12" t="s">
        <v>61</v>
      </c>
      <c r="P55" s="12" t="s">
        <v>259</v>
      </c>
      <c r="Q55" s="12" t="s">
        <v>260</v>
      </c>
      <c r="R55" s="12" t="s">
        <v>906</v>
      </c>
      <c r="S55" s="12" t="s">
        <v>283</v>
      </c>
      <c r="T55" s="12" t="s">
        <v>66</v>
      </c>
      <c r="U55" s="12" t="s">
        <v>284</v>
      </c>
      <c r="V55" s="12" t="s">
        <v>1167</v>
      </c>
      <c r="W55" s="12" t="s">
        <v>68</v>
      </c>
      <c r="X55" s="12">
        <v>42.25</v>
      </c>
      <c r="Y55" s="12">
        <v>11.75</v>
      </c>
      <c r="Z55" s="14" t="s">
        <v>69</v>
      </c>
      <c r="AA55" s="12">
        <v>2539</v>
      </c>
      <c r="AB55" s="12" t="str">
        <f>X55&amp;"/"&amp;Y55</f>
        <v>42.25/11.75</v>
      </c>
      <c r="AC55" s="13" t="s">
        <v>1473</v>
      </c>
      <c r="AD55" s="25">
        <v>46054</v>
      </c>
      <c r="AE55" s="14" t="s">
        <v>70</v>
      </c>
      <c r="AF55" s="14" t="s">
        <v>71</v>
      </c>
      <c r="AG55" s="14" t="s">
        <v>72</v>
      </c>
      <c r="AH55" s="12" t="str">
        <f t="shared" si="4"/>
        <v>Europa | Italy | Lazio | Tarquinia</v>
      </c>
      <c r="AI55" s="12" t="s">
        <v>73</v>
      </c>
      <c r="AJ55" s="12"/>
      <c r="AK55" s="12" t="s">
        <v>74</v>
      </c>
      <c r="AL55" s="12" t="str">
        <f t="shared" si="5"/>
        <v>ITA</v>
      </c>
      <c r="AM55" s="12" t="s">
        <v>75</v>
      </c>
      <c r="AN55" s="12" t="s">
        <v>273</v>
      </c>
      <c r="AO55" s="12" t="s">
        <v>57</v>
      </c>
      <c r="AP55" s="12" t="s">
        <v>77</v>
      </c>
      <c r="AQ55" s="12" t="s">
        <v>78</v>
      </c>
      <c r="AR55" s="12" t="s">
        <v>79</v>
      </c>
      <c r="AS55" s="12" t="s">
        <v>1225</v>
      </c>
      <c r="AT55" s="12"/>
      <c r="AU55" s="12" t="s">
        <v>281</v>
      </c>
      <c r="AV55" s="12">
        <v>1</v>
      </c>
      <c r="AW55" s="12">
        <v>1</v>
      </c>
      <c r="AX55" s="12" t="s">
        <v>81</v>
      </c>
      <c r="AY55" s="12" t="s">
        <v>82</v>
      </c>
      <c r="AZ55" s="12" t="s">
        <v>83</v>
      </c>
      <c r="BA55" s="12" t="s">
        <v>84</v>
      </c>
      <c r="BB55" s="12"/>
      <c r="BC55" s="27" t="s">
        <v>1595</v>
      </c>
      <c r="BD55" s="27" t="s">
        <v>1596</v>
      </c>
      <c r="BE55" s="12"/>
    </row>
    <row r="56" spans="1:57" x14ac:dyDescent="0.25">
      <c r="A56" s="12" t="s">
        <v>285</v>
      </c>
      <c r="B56" s="12" t="s">
        <v>57</v>
      </c>
      <c r="C56" s="25">
        <v>22592</v>
      </c>
      <c r="D56" s="12">
        <f t="shared" si="6"/>
        <v>311</v>
      </c>
      <c r="E56" s="23">
        <f t="shared" si="7"/>
        <v>311</v>
      </c>
      <c r="F56" s="12">
        <f t="shared" si="0"/>
        <v>1961</v>
      </c>
      <c r="G56" s="12">
        <f t="shared" si="8"/>
        <v>11</v>
      </c>
      <c r="H56" s="12">
        <f t="shared" si="9"/>
        <v>7</v>
      </c>
      <c r="I56" s="24">
        <f t="shared" si="10"/>
        <v>22592</v>
      </c>
      <c r="J56" s="12" t="s">
        <v>58</v>
      </c>
      <c r="K56" s="12" t="str">
        <f t="shared" si="1"/>
        <v>Anas acuta (Linnaeus, 1758)</v>
      </c>
      <c r="L56" s="12" t="str">
        <f t="shared" si="2"/>
        <v>Animalia|Chordata|Aves|Anseriformes|Anatidae|Anas</v>
      </c>
      <c r="M56" s="12" t="s">
        <v>59</v>
      </c>
      <c r="N56" s="12" t="s">
        <v>60</v>
      </c>
      <c r="O56" s="12" t="s">
        <v>61</v>
      </c>
      <c r="P56" s="12" t="s">
        <v>259</v>
      </c>
      <c r="Q56" s="12" t="s">
        <v>260</v>
      </c>
      <c r="R56" s="12" t="s">
        <v>907</v>
      </c>
      <c r="S56" s="12" t="s">
        <v>286</v>
      </c>
      <c r="T56" s="12" t="s">
        <v>66</v>
      </c>
      <c r="U56" s="12" t="s">
        <v>287</v>
      </c>
      <c r="V56" s="12" t="s">
        <v>1167</v>
      </c>
      <c r="W56" s="12" t="s">
        <v>68</v>
      </c>
      <c r="X56" s="12">
        <v>44.33014</v>
      </c>
      <c r="Y56" s="12">
        <v>7.4859239999999998</v>
      </c>
      <c r="Z56" s="14" t="s">
        <v>69</v>
      </c>
      <c r="AA56" s="12">
        <v>1929</v>
      </c>
      <c r="AB56" s="12" t="str">
        <f t="shared" si="3"/>
        <v>44.33014/7.485924</v>
      </c>
      <c r="AC56" s="13" t="s">
        <v>1473</v>
      </c>
      <c r="AD56" s="25">
        <v>46054</v>
      </c>
      <c r="AE56" s="14" t="s">
        <v>70</v>
      </c>
      <c r="AF56" s="14" t="s">
        <v>71</v>
      </c>
      <c r="AG56" s="14" t="s">
        <v>72</v>
      </c>
      <c r="AH56" s="12" t="str">
        <f t="shared" si="4"/>
        <v>Europa | Italy | Veneto | Valle Morosina</v>
      </c>
      <c r="AI56" s="12" t="s">
        <v>73</v>
      </c>
      <c r="AJ56" s="12"/>
      <c r="AK56" s="12" t="s">
        <v>74</v>
      </c>
      <c r="AL56" s="12" t="str">
        <f t="shared" si="5"/>
        <v>ITA</v>
      </c>
      <c r="AM56" s="12" t="s">
        <v>150</v>
      </c>
      <c r="AN56" s="12" t="s">
        <v>308</v>
      </c>
      <c r="AO56" s="12" t="s">
        <v>57</v>
      </c>
      <c r="AP56" s="12" t="s">
        <v>77</v>
      </c>
      <c r="AQ56" s="12" t="s">
        <v>78</v>
      </c>
      <c r="AR56" s="12" t="s">
        <v>79</v>
      </c>
      <c r="AS56" s="12" t="s">
        <v>1226</v>
      </c>
      <c r="AT56" s="12"/>
      <c r="AU56" s="12" t="s">
        <v>285</v>
      </c>
      <c r="AV56" s="12">
        <v>1</v>
      </c>
      <c r="AW56" s="12">
        <v>1</v>
      </c>
      <c r="AX56" s="12" t="s">
        <v>81</v>
      </c>
      <c r="AY56" s="12" t="s">
        <v>82</v>
      </c>
      <c r="AZ56" s="12" t="s">
        <v>83</v>
      </c>
      <c r="BA56" s="12" t="s">
        <v>84</v>
      </c>
      <c r="BB56" s="12"/>
      <c r="BC56" s="27" t="s">
        <v>1597</v>
      </c>
      <c r="BD56" s="27" t="s">
        <v>1598</v>
      </c>
      <c r="BE56" s="12"/>
    </row>
    <row r="57" spans="1:57" x14ac:dyDescent="0.25">
      <c r="A57" s="12" t="s">
        <v>288</v>
      </c>
      <c r="B57" s="12" t="s">
        <v>57</v>
      </c>
      <c r="C57" s="12">
        <v>1950</v>
      </c>
      <c r="D57" s="12"/>
      <c r="E57" s="23"/>
      <c r="F57" s="12">
        <f t="shared" si="0"/>
        <v>1950</v>
      </c>
      <c r="G57" s="12"/>
      <c r="H57" s="12"/>
      <c r="I57" s="24">
        <f t="shared" si="10"/>
        <v>1950</v>
      </c>
      <c r="J57" s="12" t="s">
        <v>58</v>
      </c>
      <c r="K57" s="12" t="str">
        <f t="shared" si="1"/>
        <v>Mareca penelope (Linnaeus, 1758)</v>
      </c>
      <c r="L57" s="12" t="str">
        <f t="shared" si="2"/>
        <v>Animalia|Chordata|Aves|Anseriformes|Anatidae|Mareca</v>
      </c>
      <c r="M57" s="12" t="s">
        <v>59</v>
      </c>
      <c r="N57" s="12" t="s">
        <v>60</v>
      </c>
      <c r="O57" s="12" t="s">
        <v>61</v>
      </c>
      <c r="P57" s="12" t="s">
        <v>259</v>
      </c>
      <c r="Q57" s="12" t="s">
        <v>260</v>
      </c>
      <c r="R57" s="12" t="s">
        <v>905</v>
      </c>
      <c r="S57" s="12" t="s">
        <v>261</v>
      </c>
      <c r="T57" s="12" t="s">
        <v>66</v>
      </c>
      <c r="U57" s="12" t="s">
        <v>262</v>
      </c>
      <c r="V57" s="12"/>
      <c r="W57" s="12" t="s">
        <v>68</v>
      </c>
      <c r="X57" s="12">
        <v>41.416666999999997</v>
      </c>
      <c r="Y57" s="12">
        <v>12.916667</v>
      </c>
      <c r="Z57" s="14" t="s">
        <v>69</v>
      </c>
      <c r="AA57" s="12">
        <v>3188</v>
      </c>
      <c r="AB57" s="12" t="str">
        <f t="shared" si="3"/>
        <v>41.416667/12.916667</v>
      </c>
      <c r="AC57" s="13" t="s">
        <v>1473</v>
      </c>
      <c r="AD57" s="25">
        <v>46054</v>
      </c>
      <c r="AE57" s="14" t="s">
        <v>70</v>
      </c>
      <c r="AF57" s="14" t="s">
        <v>71</v>
      </c>
      <c r="AG57" s="14" t="s">
        <v>72</v>
      </c>
      <c r="AH57" s="12" t="str">
        <f t="shared" si="4"/>
        <v>Europa | Italy | Lazio | Pontine Marshes</v>
      </c>
      <c r="AI57" s="12" t="s">
        <v>73</v>
      </c>
      <c r="AJ57" s="12"/>
      <c r="AK57" s="12" t="s">
        <v>74</v>
      </c>
      <c r="AL57" s="12" t="str">
        <f t="shared" si="5"/>
        <v>ITA</v>
      </c>
      <c r="AM57" s="12" t="s">
        <v>75</v>
      </c>
      <c r="AN57" s="12" t="s">
        <v>289</v>
      </c>
      <c r="AO57" s="12" t="s">
        <v>57</v>
      </c>
      <c r="AP57" s="12" t="s">
        <v>77</v>
      </c>
      <c r="AQ57" s="12" t="s">
        <v>78</v>
      </c>
      <c r="AR57" s="12" t="s">
        <v>79</v>
      </c>
      <c r="AS57" s="12" t="s">
        <v>1227</v>
      </c>
      <c r="AT57" s="12" t="s">
        <v>80</v>
      </c>
      <c r="AU57" s="12" t="s">
        <v>288</v>
      </c>
      <c r="AV57" s="12">
        <v>1</v>
      </c>
      <c r="AW57" s="12">
        <v>1</v>
      </c>
      <c r="AX57" s="12" t="s">
        <v>81</v>
      </c>
      <c r="AY57" s="12" t="s">
        <v>82</v>
      </c>
      <c r="AZ57" s="12" t="s">
        <v>83</v>
      </c>
      <c r="BA57" s="12" t="s">
        <v>84</v>
      </c>
      <c r="BB57" s="12"/>
      <c r="BC57" s="27" t="s">
        <v>1599</v>
      </c>
      <c r="BD57" s="27" t="s">
        <v>1600</v>
      </c>
      <c r="BE57" s="12"/>
    </row>
    <row r="58" spans="1:57" x14ac:dyDescent="0.25">
      <c r="A58" s="12" t="s">
        <v>290</v>
      </c>
      <c r="B58" s="12" t="s">
        <v>57</v>
      </c>
      <c r="C58" s="12">
        <v>1967</v>
      </c>
      <c r="D58" s="12"/>
      <c r="E58" s="23"/>
      <c r="F58" s="12">
        <f t="shared" si="0"/>
        <v>1967</v>
      </c>
      <c r="G58" s="12"/>
      <c r="H58" s="12"/>
      <c r="I58" s="24">
        <f t="shared" si="10"/>
        <v>1967</v>
      </c>
      <c r="J58" s="12" t="s">
        <v>58</v>
      </c>
      <c r="K58" s="12" t="str">
        <f t="shared" si="1"/>
        <v>Anas platyrhynchos (Linnaeus, 1758)</v>
      </c>
      <c r="L58" s="12" t="str">
        <f t="shared" si="2"/>
        <v>Animalia|Chordata|Aves|Anseriformes|Anatidae|Anas</v>
      </c>
      <c r="M58" s="12" t="s">
        <v>59</v>
      </c>
      <c r="N58" s="12" t="s">
        <v>60</v>
      </c>
      <c r="O58" s="12" t="s">
        <v>61</v>
      </c>
      <c r="P58" s="12" t="s">
        <v>259</v>
      </c>
      <c r="Q58" s="12" t="s">
        <v>260</v>
      </c>
      <c r="R58" s="12" t="s">
        <v>907</v>
      </c>
      <c r="S58" s="12" t="s">
        <v>279</v>
      </c>
      <c r="T58" s="12" t="s">
        <v>66</v>
      </c>
      <c r="U58" s="12" t="s">
        <v>280</v>
      </c>
      <c r="V58" s="12" t="s">
        <v>1167</v>
      </c>
      <c r="W58" s="12" t="s">
        <v>68</v>
      </c>
      <c r="X58" s="12">
        <v>41.9</v>
      </c>
      <c r="Y58" s="12">
        <v>12.483333</v>
      </c>
      <c r="Z58" s="14" t="s">
        <v>69</v>
      </c>
      <c r="AA58" s="12">
        <v>40000</v>
      </c>
      <c r="AB58" s="12" t="str">
        <f t="shared" si="3"/>
        <v>41.9/12.483333</v>
      </c>
      <c r="AC58" s="13" t="s">
        <v>1473</v>
      </c>
      <c r="AD58" s="25">
        <v>46054</v>
      </c>
      <c r="AE58" s="14" t="s">
        <v>70</v>
      </c>
      <c r="AF58" s="14" t="s">
        <v>71</v>
      </c>
      <c r="AG58" s="14" t="s">
        <v>72</v>
      </c>
      <c r="AH58" s="12" t="str">
        <f t="shared" si="4"/>
        <v>Europa | Italy | Lazio | Rome</v>
      </c>
      <c r="AI58" s="12" t="s">
        <v>73</v>
      </c>
      <c r="AJ58" s="12"/>
      <c r="AK58" s="12" t="s">
        <v>74</v>
      </c>
      <c r="AL58" s="12" t="str">
        <f t="shared" si="5"/>
        <v>ITA</v>
      </c>
      <c r="AM58" s="12" t="s">
        <v>75</v>
      </c>
      <c r="AN58" s="12" t="s">
        <v>153</v>
      </c>
      <c r="AO58" s="12" t="s">
        <v>57</v>
      </c>
      <c r="AP58" s="12" t="s">
        <v>77</v>
      </c>
      <c r="AQ58" s="12" t="s">
        <v>78</v>
      </c>
      <c r="AR58" s="12" t="s">
        <v>79</v>
      </c>
      <c r="AS58" s="12" t="s">
        <v>1228</v>
      </c>
      <c r="AT58" s="12" t="s">
        <v>80</v>
      </c>
      <c r="AU58" s="12" t="s">
        <v>290</v>
      </c>
      <c r="AV58" s="12">
        <v>1</v>
      </c>
      <c r="AW58" s="12">
        <v>1</v>
      </c>
      <c r="AX58" s="12" t="s">
        <v>81</v>
      </c>
      <c r="AY58" s="12" t="s">
        <v>82</v>
      </c>
      <c r="AZ58" s="12" t="s">
        <v>83</v>
      </c>
      <c r="BA58" s="12" t="s">
        <v>84</v>
      </c>
      <c r="BB58" s="12"/>
      <c r="BC58" s="27" t="s">
        <v>1601</v>
      </c>
      <c r="BD58" s="27" t="s">
        <v>1602</v>
      </c>
      <c r="BE58" s="12"/>
    </row>
    <row r="59" spans="1:57" x14ac:dyDescent="0.25">
      <c r="A59" s="12" t="s">
        <v>2083</v>
      </c>
      <c r="B59" s="12" t="s">
        <v>57</v>
      </c>
      <c r="C59" s="12">
        <v>1920</v>
      </c>
      <c r="D59" s="12"/>
      <c r="E59" s="23"/>
      <c r="F59" s="12">
        <f t="shared" si="0"/>
        <v>1920</v>
      </c>
      <c r="G59" s="12"/>
      <c r="H59" s="12"/>
      <c r="I59" s="24">
        <f t="shared" si="10"/>
        <v>1920</v>
      </c>
      <c r="J59" s="12" t="s">
        <v>2076</v>
      </c>
      <c r="K59" s="12" t="str">
        <f t="shared" si="1"/>
        <v>Eudyptes chrysolophus (Brandt, 1837)</v>
      </c>
      <c r="L59" s="12" t="str">
        <f t="shared" si="2"/>
        <v>Animalia|Chordata|Aves|Sphenisciforme|Spheniscidae|Eudyptes</v>
      </c>
      <c r="M59" s="12" t="s">
        <v>59</v>
      </c>
      <c r="N59" s="12" t="s">
        <v>60</v>
      </c>
      <c r="O59" s="12" t="s">
        <v>61</v>
      </c>
      <c r="P59" s="12" t="s">
        <v>2078</v>
      </c>
      <c r="Q59" s="12" t="s">
        <v>2077</v>
      </c>
      <c r="R59" s="12" t="s">
        <v>909</v>
      </c>
      <c r="S59" s="12" t="s">
        <v>2075</v>
      </c>
      <c r="T59" s="12" t="s">
        <v>66</v>
      </c>
      <c r="U59" s="12" t="s">
        <v>2079</v>
      </c>
      <c r="V59" s="12"/>
      <c r="W59" s="12" t="s">
        <v>68</v>
      </c>
      <c r="X59" s="12">
        <v>-66</v>
      </c>
      <c r="Y59" s="12">
        <v>-60</v>
      </c>
      <c r="Z59" s="14" t="s">
        <v>69</v>
      </c>
      <c r="AA59" s="12">
        <v>200000</v>
      </c>
      <c r="AB59" s="12" t="str">
        <f t="shared" si="3"/>
        <v>-66/-60</v>
      </c>
      <c r="AC59" s="13" t="s">
        <v>1473</v>
      </c>
      <c r="AD59" s="25">
        <v>46054</v>
      </c>
      <c r="AE59" s="14" t="s">
        <v>70</v>
      </c>
      <c r="AF59" s="14" t="s">
        <v>71</v>
      </c>
      <c r="AG59" s="14" t="s">
        <v>72</v>
      </c>
      <c r="AH59" s="12" t="str">
        <f t="shared" si="4"/>
        <v>Antartica | Antartica | Antarctic Peninsula</v>
      </c>
      <c r="AI59" s="12" t="s">
        <v>2081</v>
      </c>
      <c r="AJ59" s="12"/>
      <c r="AK59" s="12" t="s">
        <v>2081</v>
      </c>
      <c r="AL59" s="12" t="str">
        <f t="shared" si="5"/>
        <v>AQ</v>
      </c>
      <c r="AM59" s="12"/>
      <c r="AN59" s="12" t="s">
        <v>2080</v>
      </c>
      <c r="AO59" s="12" t="s">
        <v>57</v>
      </c>
      <c r="AP59" s="12" t="s">
        <v>77</v>
      </c>
      <c r="AQ59" s="12" t="s">
        <v>78</v>
      </c>
      <c r="AR59" s="12" t="s">
        <v>79</v>
      </c>
      <c r="AS59" s="12" t="s">
        <v>1229</v>
      </c>
      <c r="AT59" s="12"/>
      <c r="AU59" s="12" t="s">
        <v>291</v>
      </c>
      <c r="AV59" s="12">
        <v>1</v>
      </c>
      <c r="AW59" s="12">
        <v>1</v>
      </c>
      <c r="AX59" s="12" t="s">
        <v>81</v>
      </c>
      <c r="AY59" s="12" t="s">
        <v>82</v>
      </c>
      <c r="AZ59" s="12" t="s">
        <v>83</v>
      </c>
      <c r="BA59" s="12" t="s">
        <v>84</v>
      </c>
      <c r="BB59" s="12"/>
      <c r="BC59" s="27" t="s">
        <v>1603</v>
      </c>
      <c r="BD59" s="27" t="s">
        <v>1604</v>
      </c>
      <c r="BE59" s="12" t="s">
        <v>1476</v>
      </c>
    </row>
    <row r="60" spans="1:57" x14ac:dyDescent="0.25">
      <c r="A60" s="12" t="s">
        <v>291</v>
      </c>
      <c r="B60" s="12" t="s">
        <v>57</v>
      </c>
      <c r="C60" s="12">
        <v>1920</v>
      </c>
      <c r="D60" s="12"/>
      <c r="E60" s="23"/>
      <c r="F60" s="12">
        <f t="shared" si="0"/>
        <v>1920</v>
      </c>
      <c r="G60" s="12"/>
      <c r="H60" s="12"/>
      <c r="I60" s="24">
        <f t="shared" si="10"/>
        <v>1920</v>
      </c>
      <c r="J60" s="12" t="s">
        <v>292</v>
      </c>
      <c r="K60" s="12" t="str">
        <f t="shared" si="1"/>
        <v>Rhynchotus rufescens (Temminck, 1815)</v>
      </c>
      <c r="L60" s="12" t="str">
        <f t="shared" si="2"/>
        <v>Animalia|Chordata|Aves|Tinamiformes|Tinamidae|Rhynchotus</v>
      </c>
      <c r="M60" s="12" t="s">
        <v>59</v>
      </c>
      <c r="N60" s="12" t="s">
        <v>60</v>
      </c>
      <c r="O60" s="12" t="s">
        <v>61</v>
      </c>
      <c r="P60" s="12" t="s">
        <v>293</v>
      </c>
      <c r="Q60" s="12" t="s">
        <v>294</v>
      </c>
      <c r="R60" s="12" t="s">
        <v>910</v>
      </c>
      <c r="S60" s="12" t="s">
        <v>295</v>
      </c>
      <c r="T60" s="12" t="s">
        <v>66</v>
      </c>
      <c r="U60" s="12" t="s">
        <v>296</v>
      </c>
      <c r="V60" s="12" t="s">
        <v>1167</v>
      </c>
      <c r="W60" s="12" t="s">
        <v>68</v>
      </c>
      <c r="X60" s="12">
        <v>15.4</v>
      </c>
      <c r="Y60" s="12">
        <v>-90.6</v>
      </c>
      <c r="Z60" s="14" t="s">
        <v>69</v>
      </c>
      <c r="AA60" s="12">
        <v>100000</v>
      </c>
      <c r="AB60" s="12" t="str">
        <f t="shared" si="3"/>
        <v>15.4/-90.6</v>
      </c>
      <c r="AC60" s="13" t="s">
        <v>1473</v>
      </c>
      <c r="AD60" s="25">
        <v>46054</v>
      </c>
      <c r="AE60" s="14" t="s">
        <v>70</v>
      </c>
      <c r="AF60" s="14" t="s">
        <v>71</v>
      </c>
      <c r="AG60" s="14" t="s">
        <v>72</v>
      </c>
      <c r="AH60" s="12" t="str">
        <f t="shared" si="4"/>
        <v>North America | Guatemala</v>
      </c>
      <c r="AI60" s="12" t="s">
        <v>1162</v>
      </c>
      <c r="AJ60" s="12"/>
      <c r="AK60" s="12" t="s">
        <v>1163</v>
      </c>
      <c r="AL60" s="12" t="str">
        <f t="shared" si="5"/>
        <v>GTM</v>
      </c>
      <c r="AM60" s="12"/>
      <c r="AN60" s="12"/>
      <c r="AO60" s="12" t="s">
        <v>57</v>
      </c>
      <c r="AP60" s="12" t="s">
        <v>77</v>
      </c>
      <c r="AQ60" s="12" t="s">
        <v>78</v>
      </c>
      <c r="AR60" s="12" t="s">
        <v>79</v>
      </c>
      <c r="AS60" s="12" t="s">
        <v>1230</v>
      </c>
      <c r="AT60" s="12"/>
      <c r="AU60" s="12" t="s">
        <v>298</v>
      </c>
      <c r="AV60" s="12">
        <v>1</v>
      </c>
      <c r="AW60" s="12">
        <v>1</v>
      </c>
      <c r="AX60" s="12" t="s">
        <v>81</v>
      </c>
      <c r="AY60" s="12" t="s">
        <v>82</v>
      </c>
      <c r="AZ60" s="12" t="s">
        <v>83</v>
      </c>
      <c r="BA60" s="12" t="s">
        <v>84</v>
      </c>
      <c r="BB60" s="12"/>
      <c r="BC60" s="27" t="s">
        <v>1605</v>
      </c>
      <c r="BD60" s="27" t="s">
        <v>1606</v>
      </c>
      <c r="BE60" s="12"/>
    </row>
    <row r="61" spans="1:57" x14ac:dyDescent="0.25">
      <c r="A61" s="12" t="s">
        <v>298</v>
      </c>
      <c r="B61" s="12" t="s">
        <v>57</v>
      </c>
      <c r="C61" s="12">
        <v>1893</v>
      </c>
      <c r="D61" s="12"/>
      <c r="E61" s="23"/>
      <c r="F61" s="12">
        <f t="shared" si="0"/>
        <v>1893</v>
      </c>
      <c r="G61" s="12"/>
      <c r="H61" s="12"/>
      <c r="I61" s="24">
        <f t="shared" si="10"/>
        <v>1893</v>
      </c>
      <c r="J61" s="12" t="s">
        <v>58</v>
      </c>
      <c r="K61" s="12" t="str">
        <f t="shared" si="1"/>
        <v>Mergus serrator (Linnaeus, 1758)</v>
      </c>
      <c r="L61" s="12" t="str">
        <f t="shared" si="2"/>
        <v>Animalia|Chordata|Aves|Anseriformes|Anatidae|Mergus</v>
      </c>
      <c r="M61" s="12" t="s">
        <v>59</v>
      </c>
      <c r="N61" s="12" t="s">
        <v>60</v>
      </c>
      <c r="O61" s="12" t="s">
        <v>61</v>
      </c>
      <c r="P61" s="12" t="s">
        <v>259</v>
      </c>
      <c r="Q61" s="12" t="s">
        <v>260</v>
      </c>
      <c r="R61" s="12" t="s">
        <v>912</v>
      </c>
      <c r="S61" s="12" t="s">
        <v>302</v>
      </c>
      <c r="T61" s="12" t="s">
        <v>66</v>
      </c>
      <c r="U61" s="12" t="s">
        <v>303</v>
      </c>
      <c r="V61" s="12"/>
      <c r="W61" s="12" t="s">
        <v>68</v>
      </c>
      <c r="X61" s="12">
        <v>41.881673999999997</v>
      </c>
      <c r="Y61" s="12">
        <v>12.20881</v>
      </c>
      <c r="Z61" s="14" t="s">
        <v>69</v>
      </c>
      <c r="AA61" s="12">
        <v>2000</v>
      </c>
      <c r="AB61" s="12" t="str">
        <f t="shared" si="3"/>
        <v>41.881674/12.20881</v>
      </c>
      <c r="AC61" s="13" t="s">
        <v>1473</v>
      </c>
      <c r="AD61" s="25">
        <v>46054</v>
      </c>
      <c r="AE61" s="14" t="s">
        <v>70</v>
      </c>
      <c r="AF61" s="14" t="s">
        <v>71</v>
      </c>
      <c r="AG61" s="14" t="s">
        <v>72</v>
      </c>
      <c r="AH61" s="12" t="str">
        <f t="shared" si="4"/>
        <v>Europa | Italy | Lazio | Maccarese</v>
      </c>
      <c r="AI61" s="12" t="s">
        <v>73</v>
      </c>
      <c r="AJ61" s="12"/>
      <c r="AK61" s="12" t="s">
        <v>74</v>
      </c>
      <c r="AL61" s="12" t="str">
        <f t="shared" si="5"/>
        <v>ITA</v>
      </c>
      <c r="AM61" s="12" t="s">
        <v>75</v>
      </c>
      <c r="AN61" s="12" t="s">
        <v>304</v>
      </c>
      <c r="AO61" s="12" t="s">
        <v>57</v>
      </c>
      <c r="AP61" s="12" t="s">
        <v>77</v>
      </c>
      <c r="AQ61" s="12" t="s">
        <v>78</v>
      </c>
      <c r="AR61" s="12" t="s">
        <v>79</v>
      </c>
      <c r="AS61" s="12" t="s">
        <v>1231</v>
      </c>
      <c r="AT61" s="12" t="s">
        <v>80</v>
      </c>
      <c r="AU61" s="12" t="s">
        <v>301</v>
      </c>
      <c r="AV61" s="12">
        <v>1</v>
      </c>
      <c r="AW61" s="12">
        <v>1</v>
      </c>
      <c r="AX61" s="12" t="s">
        <v>81</v>
      </c>
      <c r="AY61" s="12" t="s">
        <v>82</v>
      </c>
      <c r="AZ61" s="12" t="s">
        <v>83</v>
      </c>
      <c r="BA61" s="12" t="s">
        <v>84</v>
      </c>
      <c r="BB61" s="12"/>
      <c r="BC61" s="27" t="s">
        <v>1607</v>
      </c>
      <c r="BD61" s="27" t="s">
        <v>1608</v>
      </c>
      <c r="BE61" s="12"/>
    </row>
    <row r="62" spans="1:57" x14ac:dyDescent="0.25">
      <c r="A62" s="12" t="s">
        <v>301</v>
      </c>
      <c r="B62" s="12" t="s">
        <v>57</v>
      </c>
      <c r="C62" s="25">
        <v>22592</v>
      </c>
      <c r="D62" s="12">
        <f t="shared" si="6"/>
        <v>311</v>
      </c>
      <c r="E62" s="23">
        <f t="shared" si="7"/>
        <v>311</v>
      </c>
      <c r="F62" s="12">
        <f t="shared" si="0"/>
        <v>1961</v>
      </c>
      <c r="G62" s="12">
        <f t="shared" si="8"/>
        <v>11</v>
      </c>
      <c r="H62" s="12">
        <f t="shared" si="9"/>
        <v>7</v>
      </c>
      <c r="I62" s="24">
        <f t="shared" si="10"/>
        <v>22592</v>
      </c>
      <c r="J62" s="12" t="s">
        <v>58</v>
      </c>
      <c r="K62" s="12" t="str">
        <f t="shared" si="1"/>
        <v>Mergellus albellus (Linnaeus, 1758)</v>
      </c>
      <c r="L62" s="12" t="str">
        <f t="shared" si="2"/>
        <v>Animalia|Chordata|Aves|Anseriformes|Anatidae|Mergellus</v>
      </c>
      <c r="M62" s="12" t="s">
        <v>59</v>
      </c>
      <c r="N62" s="12" t="s">
        <v>60</v>
      </c>
      <c r="O62" s="12" t="s">
        <v>61</v>
      </c>
      <c r="P62" s="12" t="s">
        <v>259</v>
      </c>
      <c r="Q62" s="12" t="s">
        <v>260</v>
      </c>
      <c r="R62" s="12" t="s">
        <v>913</v>
      </c>
      <c r="S62" s="12" t="s">
        <v>306</v>
      </c>
      <c r="T62" s="12" t="s">
        <v>66</v>
      </c>
      <c r="U62" s="12" t="s">
        <v>307</v>
      </c>
      <c r="V62" s="12" t="s">
        <v>1168</v>
      </c>
      <c r="W62" s="12" t="s">
        <v>68</v>
      </c>
      <c r="X62" s="12">
        <v>41.883333</v>
      </c>
      <c r="Y62" s="12">
        <v>12.216666999999999</v>
      </c>
      <c r="Z62" s="14" t="s">
        <v>69</v>
      </c>
      <c r="AA62" s="12">
        <v>1427</v>
      </c>
      <c r="AB62" s="12" t="str">
        <f t="shared" si="3"/>
        <v>41.883333/12.216667</v>
      </c>
      <c r="AC62" s="13" t="s">
        <v>1473</v>
      </c>
      <c r="AD62" s="25">
        <v>46054</v>
      </c>
      <c r="AE62" s="14" t="s">
        <v>70</v>
      </c>
      <c r="AF62" s="14" t="s">
        <v>71</v>
      </c>
      <c r="AG62" s="14" t="s">
        <v>72</v>
      </c>
      <c r="AH62" s="12" t="str">
        <f t="shared" si="4"/>
        <v>Europa | Italy | Veneto | Valle Morosina</v>
      </c>
      <c r="AI62" s="12" t="s">
        <v>73</v>
      </c>
      <c r="AJ62" s="12"/>
      <c r="AK62" s="12" t="s">
        <v>74</v>
      </c>
      <c r="AL62" s="12" t="str">
        <f t="shared" si="5"/>
        <v>ITA</v>
      </c>
      <c r="AM62" s="12" t="s">
        <v>150</v>
      </c>
      <c r="AN62" s="12" t="s">
        <v>308</v>
      </c>
      <c r="AO62" s="12" t="s">
        <v>57</v>
      </c>
      <c r="AP62" s="12" t="s">
        <v>77</v>
      </c>
      <c r="AQ62" s="12" t="s">
        <v>78</v>
      </c>
      <c r="AR62" s="12" t="s">
        <v>79</v>
      </c>
      <c r="AS62" s="12" t="s">
        <v>1232</v>
      </c>
      <c r="AT62" s="12" t="s">
        <v>92</v>
      </c>
      <c r="AU62" s="12" t="s">
        <v>305</v>
      </c>
      <c r="AV62" s="12">
        <v>1</v>
      </c>
      <c r="AW62" s="12">
        <v>1</v>
      </c>
      <c r="AX62" s="12" t="s">
        <v>81</v>
      </c>
      <c r="AY62" s="12" t="s">
        <v>82</v>
      </c>
      <c r="AZ62" s="12" t="s">
        <v>83</v>
      </c>
      <c r="BA62" s="12" t="s">
        <v>84</v>
      </c>
      <c r="BB62" s="12"/>
      <c r="BC62" s="27" t="s">
        <v>1609</v>
      </c>
      <c r="BD62" s="27" t="s">
        <v>1610</v>
      </c>
      <c r="BE62" s="12"/>
    </row>
    <row r="63" spans="1:57" x14ac:dyDescent="0.25">
      <c r="A63" s="12" t="s">
        <v>305</v>
      </c>
      <c r="B63" s="12" t="s">
        <v>57</v>
      </c>
      <c r="C63" s="25">
        <v>21259</v>
      </c>
      <c r="D63" s="12">
        <f t="shared" si="6"/>
        <v>74</v>
      </c>
      <c r="E63" s="23">
        <f t="shared" si="7"/>
        <v>74</v>
      </c>
      <c r="F63" s="12">
        <f t="shared" si="0"/>
        <v>1958</v>
      </c>
      <c r="G63" s="12">
        <f t="shared" si="8"/>
        <v>3</v>
      </c>
      <c r="H63" s="12">
        <f t="shared" si="9"/>
        <v>15</v>
      </c>
      <c r="I63" s="24">
        <f t="shared" si="10"/>
        <v>21259</v>
      </c>
      <c r="J63" s="12" t="s">
        <v>58</v>
      </c>
      <c r="K63" s="12" t="str">
        <f t="shared" si="1"/>
        <v>Aythya ferina (Linnaeus, 1758)</v>
      </c>
      <c r="L63" s="12" t="str">
        <f t="shared" si="2"/>
        <v>Animalia|Chordata|Aves|Anseriformes|Anatidae|Aythya</v>
      </c>
      <c r="M63" s="12" t="s">
        <v>59</v>
      </c>
      <c r="N63" s="12" t="s">
        <v>60</v>
      </c>
      <c r="O63" s="12" t="s">
        <v>61</v>
      </c>
      <c r="P63" s="12" t="s">
        <v>259</v>
      </c>
      <c r="Q63" s="12" t="s">
        <v>260</v>
      </c>
      <c r="R63" s="12" t="s">
        <v>906</v>
      </c>
      <c r="S63" s="12" t="s">
        <v>265</v>
      </c>
      <c r="T63" s="12" t="s">
        <v>66</v>
      </c>
      <c r="U63" s="12" t="s">
        <v>266</v>
      </c>
      <c r="V63" s="12" t="s">
        <v>1165</v>
      </c>
      <c r="W63" s="12" t="s">
        <v>68</v>
      </c>
      <c r="X63" s="12">
        <v>45.082614999999997</v>
      </c>
      <c r="Y63" s="12">
        <v>12.287164000000001</v>
      </c>
      <c r="Z63" s="14" t="s">
        <v>69</v>
      </c>
      <c r="AA63" s="12">
        <v>7136</v>
      </c>
      <c r="AB63" s="12" t="str">
        <f t="shared" si="3"/>
        <v>45.082615/12.287164</v>
      </c>
      <c r="AC63" s="13" t="s">
        <v>1473</v>
      </c>
      <c r="AD63" s="25">
        <v>46054</v>
      </c>
      <c r="AE63" s="14" t="s">
        <v>70</v>
      </c>
      <c r="AF63" s="14" t="s">
        <v>71</v>
      </c>
      <c r="AG63" s="14" t="s">
        <v>72</v>
      </c>
      <c r="AH63" s="12" t="str">
        <f t="shared" si="4"/>
        <v>Europa | Italy | Piedmont | Casale Monferrato</v>
      </c>
      <c r="AI63" s="12" t="s">
        <v>73</v>
      </c>
      <c r="AJ63" s="12"/>
      <c r="AK63" s="12" t="s">
        <v>74</v>
      </c>
      <c r="AL63" s="12" t="str">
        <f t="shared" si="5"/>
        <v>ITA</v>
      </c>
      <c r="AM63" s="12" t="s">
        <v>90</v>
      </c>
      <c r="AN63" s="12" t="s">
        <v>310</v>
      </c>
      <c r="AO63" s="12" t="s">
        <v>57</v>
      </c>
      <c r="AP63" s="12" t="s">
        <v>77</v>
      </c>
      <c r="AQ63" s="12" t="s">
        <v>78</v>
      </c>
      <c r="AR63" s="12" t="s">
        <v>79</v>
      </c>
      <c r="AS63" s="12" t="s">
        <v>1233</v>
      </c>
      <c r="AT63" s="12" t="s">
        <v>92</v>
      </c>
      <c r="AU63" s="12" t="s">
        <v>309</v>
      </c>
      <c r="AV63" s="12">
        <v>1</v>
      </c>
      <c r="AW63" s="12">
        <v>1</v>
      </c>
      <c r="AX63" s="12" t="s">
        <v>81</v>
      </c>
      <c r="AY63" s="12" t="s">
        <v>82</v>
      </c>
      <c r="AZ63" s="12" t="s">
        <v>83</v>
      </c>
      <c r="BA63" s="12" t="s">
        <v>84</v>
      </c>
      <c r="BB63" s="12"/>
      <c r="BC63" s="27" t="s">
        <v>1611</v>
      </c>
      <c r="BD63" s="27" t="s">
        <v>1612</v>
      </c>
      <c r="BE63" s="12"/>
    </row>
    <row r="64" spans="1:57" x14ac:dyDescent="0.25">
      <c r="A64" s="12" t="s">
        <v>309</v>
      </c>
      <c r="B64" s="12" t="s">
        <v>57</v>
      </c>
      <c r="C64" s="25">
        <v>22298</v>
      </c>
      <c r="D64" s="12">
        <f t="shared" si="6"/>
        <v>17</v>
      </c>
      <c r="E64" s="23">
        <f t="shared" si="7"/>
        <v>17</v>
      </c>
      <c r="F64" s="12">
        <f t="shared" si="0"/>
        <v>1961</v>
      </c>
      <c r="G64" s="12">
        <f t="shared" si="8"/>
        <v>1</v>
      </c>
      <c r="H64" s="12">
        <f t="shared" si="9"/>
        <v>17</v>
      </c>
      <c r="I64" s="24">
        <f t="shared" si="10"/>
        <v>22298</v>
      </c>
      <c r="J64" s="12" t="s">
        <v>312</v>
      </c>
      <c r="K64" s="12" t="str">
        <f t="shared" si="1"/>
        <v>Aythya nyroca (Guldenstadt, 1770)</v>
      </c>
      <c r="L64" s="12" t="str">
        <f t="shared" si="2"/>
        <v>Animalia|Chordata|Aves|Anseriformes|Anatidae|Aythya</v>
      </c>
      <c r="M64" s="12" t="s">
        <v>59</v>
      </c>
      <c r="N64" s="12" t="s">
        <v>60</v>
      </c>
      <c r="O64" s="12" t="s">
        <v>61</v>
      </c>
      <c r="P64" s="12" t="s">
        <v>259</v>
      </c>
      <c r="Q64" s="12" t="s">
        <v>260</v>
      </c>
      <c r="R64" s="12" t="s">
        <v>906</v>
      </c>
      <c r="S64" s="12" t="s">
        <v>283</v>
      </c>
      <c r="T64" s="12" t="s">
        <v>66</v>
      </c>
      <c r="U64" s="12" t="s">
        <v>284</v>
      </c>
      <c r="V64" s="12" t="s">
        <v>1168</v>
      </c>
      <c r="W64" s="12" t="s">
        <v>68</v>
      </c>
      <c r="X64" s="12">
        <v>45.133333</v>
      </c>
      <c r="Y64" s="12">
        <v>8.4499999999999993</v>
      </c>
      <c r="Z64" s="14" t="s">
        <v>69</v>
      </c>
      <c r="AA64" s="12">
        <v>2452</v>
      </c>
      <c r="AB64" s="12" t="str">
        <f t="shared" si="3"/>
        <v>45.133333/8.45</v>
      </c>
      <c r="AC64" s="13" t="s">
        <v>1473</v>
      </c>
      <c r="AD64" s="25">
        <v>46054</v>
      </c>
      <c r="AE64" s="14" t="s">
        <v>70</v>
      </c>
      <c r="AF64" s="14" t="s">
        <v>71</v>
      </c>
      <c r="AG64" s="14" t="s">
        <v>72</v>
      </c>
      <c r="AH64" s="12" t="str">
        <f t="shared" si="4"/>
        <v>Europa | Italy | Veneto | Valle Millecampi</v>
      </c>
      <c r="AI64" s="12" t="s">
        <v>73</v>
      </c>
      <c r="AJ64" s="12"/>
      <c r="AK64" s="12" t="s">
        <v>74</v>
      </c>
      <c r="AL64" s="12" t="str">
        <f t="shared" si="5"/>
        <v>ITA</v>
      </c>
      <c r="AM64" s="12" t="s">
        <v>150</v>
      </c>
      <c r="AN64" s="12" t="s">
        <v>313</v>
      </c>
      <c r="AO64" s="12" t="s">
        <v>57</v>
      </c>
      <c r="AP64" s="12" t="s">
        <v>77</v>
      </c>
      <c r="AQ64" s="12" t="s">
        <v>78</v>
      </c>
      <c r="AR64" s="12" t="s">
        <v>79</v>
      </c>
      <c r="AS64" s="12" t="s">
        <v>1234</v>
      </c>
      <c r="AT64" s="12" t="s">
        <v>92</v>
      </c>
      <c r="AU64" s="12" t="s">
        <v>311</v>
      </c>
      <c r="AV64" s="12">
        <v>1</v>
      </c>
      <c r="AW64" s="12">
        <v>1</v>
      </c>
      <c r="AX64" s="12" t="s">
        <v>81</v>
      </c>
      <c r="AY64" s="12" t="s">
        <v>82</v>
      </c>
      <c r="AZ64" s="12" t="s">
        <v>83</v>
      </c>
      <c r="BA64" s="12" t="s">
        <v>84</v>
      </c>
      <c r="BB64" s="12"/>
      <c r="BC64" s="27" t="s">
        <v>1613</v>
      </c>
      <c r="BD64" s="27" t="s">
        <v>1614</v>
      </c>
      <c r="BE64" s="12"/>
    </row>
    <row r="65" spans="1:57" x14ac:dyDescent="0.25">
      <c r="A65" s="12" t="s">
        <v>311</v>
      </c>
      <c r="B65" s="12" t="s">
        <v>57</v>
      </c>
      <c r="C65" s="12" t="s">
        <v>315</v>
      </c>
      <c r="D65" s="12">
        <f>IFERROR(DATE(VALUE(RIGHT(C65,4)), VALUE(MID(C65,4,2)), VALUE(LEFT(C65,2)))-DATE(VALUE(RIGHT(C65,4)),1,1)+1,"")</f>
        <v>28</v>
      </c>
      <c r="E65" s="23">
        <f>IFERROR(DATE(RIGHT(C65,4), MID(C65,4,2), LEFT(C65,2))-DATE(RIGHT(C65,4),1,1)+1,"")</f>
        <v>28</v>
      </c>
      <c r="F65" s="12">
        <v>1890</v>
      </c>
      <c r="G65" s="12" t="str">
        <f t="shared" ref="G65:G128" si="13">IFERROR(MONTH(C65),"")</f>
        <v/>
      </c>
      <c r="H65" s="12" t="str">
        <f t="shared" ref="H65:H128" si="14">IFERROR(DAY(C65),"")</f>
        <v/>
      </c>
      <c r="I65" s="24" t="str">
        <f t="shared" si="10"/>
        <v>28/01/1890</v>
      </c>
      <c r="J65" s="12" t="s">
        <v>316</v>
      </c>
      <c r="K65" s="12" t="str">
        <f t="shared" ref="K65:K128" si="15">R65&amp;" "&amp;S65&amp;" "&amp;"("&amp;J65&amp;")"</f>
        <v>Netta rufina (Pallas, 1773)</v>
      </c>
      <c r="L65" s="12" t="str">
        <f t="shared" ref="L65:L128" si="16">M65&amp;"|"&amp;N65&amp;"|"&amp;O65&amp;"|"&amp;P65&amp;"|"&amp;Q65&amp;"|"&amp;R65</f>
        <v>Animalia|Chordata|Aves|Anseriformes|Anatidae|Netta</v>
      </c>
      <c r="M65" s="12" t="s">
        <v>59</v>
      </c>
      <c r="N65" s="12" t="s">
        <v>60</v>
      </c>
      <c r="O65" s="12" t="s">
        <v>61</v>
      </c>
      <c r="P65" s="12" t="s">
        <v>259</v>
      </c>
      <c r="Q65" s="12" t="s">
        <v>260</v>
      </c>
      <c r="R65" s="12" t="s">
        <v>914</v>
      </c>
      <c r="S65" s="12" t="s">
        <v>317</v>
      </c>
      <c r="T65" s="12" t="s">
        <v>66</v>
      </c>
      <c r="U65" s="12" t="s">
        <v>318</v>
      </c>
      <c r="V65" s="12"/>
      <c r="W65" s="12" t="s">
        <v>68</v>
      </c>
      <c r="X65" s="12">
        <v>41.9</v>
      </c>
      <c r="Y65" s="12">
        <v>12.483333</v>
      </c>
      <c r="Z65" s="14" t="s">
        <v>69</v>
      </c>
      <c r="AA65" s="12">
        <v>4941</v>
      </c>
      <c r="AB65" s="12" t="str">
        <f t="shared" si="3"/>
        <v>41.9/12.483333</v>
      </c>
      <c r="AC65" s="13" t="s">
        <v>1473</v>
      </c>
      <c r="AD65" s="25">
        <v>46054</v>
      </c>
      <c r="AE65" s="14" t="s">
        <v>70</v>
      </c>
      <c r="AF65" s="14" t="s">
        <v>71</v>
      </c>
      <c r="AG65" s="14" t="s">
        <v>72</v>
      </c>
      <c r="AH65" s="12" t="str">
        <f t="shared" ref="AH65:AH128" si="17">_xlfn.TEXTJOIN(" | ",TRUE,AI65,AJ65,AK65,AM65,AN65)</f>
        <v>Europa | Italy | Lazio | Rome</v>
      </c>
      <c r="AI65" s="12" t="s">
        <v>73</v>
      </c>
      <c r="AJ65" s="12"/>
      <c r="AK65" s="12" t="s">
        <v>74</v>
      </c>
      <c r="AL65" s="12" t="str">
        <f t="shared" si="5"/>
        <v>ITA</v>
      </c>
      <c r="AM65" s="12" t="s">
        <v>75</v>
      </c>
      <c r="AN65" s="12" t="s">
        <v>153</v>
      </c>
      <c r="AO65" s="12" t="s">
        <v>57</v>
      </c>
      <c r="AP65" s="12" t="s">
        <v>77</v>
      </c>
      <c r="AQ65" s="12" t="s">
        <v>78</v>
      </c>
      <c r="AR65" s="12" t="s">
        <v>79</v>
      </c>
      <c r="AS65" s="12" t="s">
        <v>1235</v>
      </c>
      <c r="AT65" s="12" t="s">
        <v>92</v>
      </c>
      <c r="AU65" s="12" t="s">
        <v>314</v>
      </c>
      <c r="AV65" s="12">
        <v>1</v>
      </c>
      <c r="AW65" s="12">
        <v>1</v>
      </c>
      <c r="AX65" s="12" t="s">
        <v>81</v>
      </c>
      <c r="AY65" s="12" t="s">
        <v>82</v>
      </c>
      <c r="AZ65" s="12" t="s">
        <v>83</v>
      </c>
      <c r="BA65" s="12" t="s">
        <v>84</v>
      </c>
      <c r="BB65" s="12"/>
      <c r="BC65" s="27" t="s">
        <v>1615</v>
      </c>
      <c r="BD65" s="27" t="s">
        <v>1616</v>
      </c>
      <c r="BE65" s="12"/>
    </row>
    <row r="66" spans="1:57" x14ac:dyDescent="0.25">
      <c r="A66" s="12" t="s">
        <v>314</v>
      </c>
      <c r="B66" s="12" t="s">
        <v>57</v>
      </c>
      <c r="C66" s="12">
        <v>1888</v>
      </c>
      <c r="D66" s="12"/>
      <c r="E66" s="23"/>
      <c r="F66" s="12">
        <f t="shared" ref="F66:F128" si="18">IFERROR(IF(C66="","",IF(C66&lt;10000,C66,YEAR(C66))),"")</f>
        <v>1888</v>
      </c>
      <c r="G66" s="12"/>
      <c r="H66" s="12"/>
      <c r="I66" s="24">
        <f t="shared" ref="I66:I129" si="19">IF(C66="","",IF(C66&lt;10000,C66,C66))</f>
        <v>1888</v>
      </c>
      <c r="J66" s="12" t="s">
        <v>58</v>
      </c>
      <c r="K66" s="12" t="str">
        <f t="shared" si="15"/>
        <v>Spatula clypeata (Linnaeus, 1758)</v>
      </c>
      <c r="L66" s="12" t="str">
        <f t="shared" si="16"/>
        <v>Animalia|Chordata|Aves|Anseriformes|Anatidae|Spatula</v>
      </c>
      <c r="M66" s="12" t="s">
        <v>59</v>
      </c>
      <c r="N66" s="12" t="s">
        <v>60</v>
      </c>
      <c r="O66" s="12" t="s">
        <v>61</v>
      </c>
      <c r="P66" s="12" t="s">
        <v>259</v>
      </c>
      <c r="Q66" s="12" t="s">
        <v>260</v>
      </c>
      <c r="R66" s="12" t="s">
        <v>908</v>
      </c>
      <c r="S66" s="12" t="s">
        <v>276</v>
      </c>
      <c r="T66" s="12" t="s">
        <v>66</v>
      </c>
      <c r="U66" s="12" t="s">
        <v>277</v>
      </c>
      <c r="V66" s="12"/>
      <c r="W66" s="12" t="s">
        <v>68</v>
      </c>
      <c r="X66" s="12">
        <v>41.9</v>
      </c>
      <c r="Y66" s="12">
        <v>12.483333</v>
      </c>
      <c r="Z66" s="14" t="s">
        <v>69</v>
      </c>
      <c r="AA66" s="12">
        <v>36625</v>
      </c>
      <c r="AB66" s="12" t="str">
        <f t="shared" ref="AB66:AB129" si="20">X66&amp;"/"&amp;Y66</f>
        <v>41.9/12.483333</v>
      </c>
      <c r="AC66" s="13" t="s">
        <v>1473</v>
      </c>
      <c r="AD66" s="25">
        <v>46054</v>
      </c>
      <c r="AE66" s="14" t="s">
        <v>70</v>
      </c>
      <c r="AF66" s="14" t="s">
        <v>71</v>
      </c>
      <c r="AG66" s="14" t="s">
        <v>72</v>
      </c>
      <c r="AH66" s="12" t="str">
        <f t="shared" si="17"/>
        <v>Europa | Italy | Lazio | Pontine Marshes</v>
      </c>
      <c r="AI66" s="12" t="s">
        <v>73</v>
      </c>
      <c r="AJ66" s="12"/>
      <c r="AK66" s="12" t="s">
        <v>74</v>
      </c>
      <c r="AL66" s="12" t="str">
        <f t="shared" ref="AL66:AL129" si="21">IF(TRIM(AK66)="Italy","ITA",IF(TRIM(AK66)="Venezuela","VEN",IF(TRIM(AK66)="Brazil","BRA",IF(TRIM(AK66)="Ethiopia","ETH",IF(TRIM(AK66)="Equador","ECU",IF(TRIM(AK66)="France","FRA",IF(TRIM(AK66)="Australia","AUS",IF(TRIM(AK66)="Guatemala","GTM",IF(TRIM(AK66)="Antartica","AQ")))))))))</f>
        <v>ITA</v>
      </c>
      <c r="AM66" s="12" t="s">
        <v>75</v>
      </c>
      <c r="AN66" s="12" t="s">
        <v>289</v>
      </c>
      <c r="AO66" s="12" t="s">
        <v>57</v>
      </c>
      <c r="AP66" s="12" t="s">
        <v>77</v>
      </c>
      <c r="AQ66" s="12" t="s">
        <v>78</v>
      </c>
      <c r="AR66" s="12" t="s">
        <v>79</v>
      </c>
      <c r="AS66" s="12" t="s">
        <v>1236</v>
      </c>
      <c r="AT66" s="12" t="s">
        <v>80</v>
      </c>
      <c r="AU66" s="12" t="s">
        <v>319</v>
      </c>
      <c r="AV66" s="12">
        <v>1</v>
      </c>
      <c r="AW66" s="12">
        <v>1</v>
      </c>
      <c r="AX66" s="12" t="s">
        <v>81</v>
      </c>
      <c r="AY66" s="12" t="s">
        <v>82</v>
      </c>
      <c r="AZ66" s="12" t="s">
        <v>83</v>
      </c>
      <c r="BA66" s="12" t="s">
        <v>84</v>
      </c>
      <c r="BB66" s="12"/>
      <c r="BC66" s="27" t="s">
        <v>1617</v>
      </c>
      <c r="BD66" s="27" t="s">
        <v>1618</v>
      </c>
      <c r="BE66" s="12"/>
    </row>
    <row r="67" spans="1:57" x14ac:dyDescent="0.25">
      <c r="A67" s="12" t="s">
        <v>319</v>
      </c>
      <c r="B67" s="12" t="s">
        <v>57</v>
      </c>
      <c r="C67" s="25" t="s">
        <v>321</v>
      </c>
      <c r="D67" s="12">
        <f t="shared" ref="D67" si="22">IFERROR(DATE(VALUE(RIGHT(C67,4)), VALUE(MID(C67,4,2)), VALUE(LEFT(C67,2)))-DATE(VALUE(RIGHT(C67,4)),1,1)+1,"")</f>
        <v>337</v>
      </c>
      <c r="E67" s="23">
        <f t="shared" ref="E67" si="23">IFERROR(DATE(RIGHT(C67,4), MID(C67,4,2), LEFT(C67,2))-DATE(RIGHT(C67,4),1,1)+1,"")</f>
        <v>337</v>
      </c>
      <c r="F67" s="12">
        <v>1895</v>
      </c>
      <c r="G67" s="12" t="str">
        <f t="shared" si="13"/>
        <v/>
      </c>
      <c r="H67" s="12" t="str">
        <f t="shared" si="14"/>
        <v/>
      </c>
      <c r="I67" s="24" t="str">
        <f t="shared" si="19"/>
        <v>03/12/1895</v>
      </c>
      <c r="J67" s="12" t="s">
        <v>58</v>
      </c>
      <c r="K67" s="12" t="str">
        <f t="shared" si="15"/>
        <v>Spatula clypeata (Linnaeus, 1758)</v>
      </c>
      <c r="L67" s="12" t="str">
        <f t="shared" si="16"/>
        <v>Animalia|Chordata|Aves|Anseriformes|Anatidae|Spatula</v>
      </c>
      <c r="M67" s="12" t="s">
        <v>59</v>
      </c>
      <c r="N67" s="12" t="s">
        <v>60</v>
      </c>
      <c r="O67" s="12" t="s">
        <v>61</v>
      </c>
      <c r="P67" s="12" t="s">
        <v>259</v>
      </c>
      <c r="Q67" s="12" t="s">
        <v>260</v>
      </c>
      <c r="R67" s="12" t="s">
        <v>908</v>
      </c>
      <c r="S67" s="12" t="s">
        <v>276</v>
      </c>
      <c r="T67" s="12" t="s">
        <v>66</v>
      </c>
      <c r="U67" s="12" t="s">
        <v>277</v>
      </c>
      <c r="V67" s="12"/>
      <c r="W67" s="12" t="s">
        <v>68</v>
      </c>
      <c r="X67" s="12">
        <v>41.416666999999997</v>
      </c>
      <c r="Y67" s="12">
        <v>12.916667</v>
      </c>
      <c r="Z67" s="14" t="s">
        <v>69</v>
      </c>
      <c r="AA67" s="12">
        <v>3188</v>
      </c>
      <c r="AB67" s="12" t="str">
        <f t="shared" si="20"/>
        <v>41.416667/12.916667</v>
      </c>
      <c r="AC67" s="13" t="s">
        <v>1473</v>
      </c>
      <c r="AD67" s="25">
        <v>46054</v>
      </c>
      <c r="AE67" s="14" t="s">
        <v>70</v>
      </c>
      <c r="AF67" s="14" t="s">
        <v>71</v>
      </c>
      <c r="AG67" s="14" t="s">
        <v>72</v>
      </c>
      <c r="AH67" s="12" t="str">
        <f t="shared" si="17"/>
        <v>Europa | Italy | Lazio | Maccarese</v>
      </c>
      <c r="AI67" s="12" t="s">
        <v>73</v>
      </c>
      <c r="AJ67" s="12"/>
      <c r="AK67" s="12" t="s">
        <v>74</v>
      </c>
      <c r="AL67" s="12" t="str">
        <f t="shared" si="21"/>
        <v>ITA</v>
      </c>
      <c r="AM67" s="12" t="s">
        <v>75</v>
      </c>
      <c r="AN67" s="12" t="s">
        <v>304</v>
      </c>
      <c r="AO67" s="12" t="s">
        <v>57</v>
      </c>
      <c r="AP67" s="12" t="s">
        <v>77</v>
      </c>
      <c r="AQ67" s="12" t="s">
        <v>78</v>
      </c>
      <c r="AR67" s="12" t="s">
        <v>79</v>
      </c>
      <c r="AS67" s="12" t="s">
        <v>1237</v>
      </c>
      <c r="AT67" s="12" t="s">
        <v>92</v>
      </c>
      <c r="AU67" s="12" t="s">
        <v>320</v>
      </c>
      <c r="AV67" s="12">
        <v>1</v>
      </c>
      <c r="AW67" s="12">
        <v>1</v>
      </c>
      <c r="AX67" s="12" t="s">
        <v>81</v>
      </c>
      <c r="AY67" s="12" t="s">
        <v>82</v>
      </c>
      <c r="AZ67" s="12" t="s">
        <v>83</v>
      </c>
      <c r="BA67" s="12" t="s">
        <v>84</v>
      </c>
      <c r="BB67" s="12"/>
      <c r="BC67" s="27" t="s">
        <v>1619</v>
      </c>
      <c r="BD67" s="27" t="s">
        <v>1620</v>
      </c>
      <c r="BE67" s="12"/>
    </row>
    <row r="68" spans="1:57" x14ac:dyDescent="0.25">
      <c r="A68" s="12" t="s">
        <v>320</v>
      </c>
      <c r="B68" s="12" t="s">
        <v>57</v>
      </c>
      <c r="C68" s="25">
        <v>21467</v>
      </c>
      <c r="D68" s="12">
        <f t="shared" ref="D68:D100" si="24">IFERROR(C68-DATE(YEAR(C68),1,1)+1,"")</f>
        <v>282</v>
      </c>
      <c r="E68" s="23">
        <f t="shared" ref="E68:E128" si="25">IFERROR(C68-DATE(YEAR(C68),1,1)+1,"")</f>
        <v>282</v>
      </c>
      <c r="F68" s="12">
        <f t="shared" si="18"/>
        <v>1958</v>
      </c>
      <c r="G68" s="12">
        <f t="shared" si="13"/>
        <v>10</v>
      </c>
      <c r="H68" s="12">
        <f t="shared" si="14"/>
        <v>9</v>
      </c>
      <c r="I68" s="24">
        <f t="shared" si="19"/>
        <v>21467</v>
      </c>
      <c r="J68" s="12" t="s">
        <v>58</v>
      </c>
      <c r="K68" s="12" t="str">
        <f t="shared" si="15"/>
        <v>Spatula querquedula (Linnaeus, 1758)</v>
      </c>
      <c r="L68" s="12" t="str">
        <f t="shared" si="16"/>
        <v>Animalia|Chordata|Aves|Anseriformes|Anatidae|Spatula</v>
      </c>
      <c r="M68" s="12" t="s">
        <v>59</v>
      </c>
      <c r="N68" s="12" t="s">
        <v>60</v>
      </c>
      <c r="O68" s="12" t="s">
        <v>61</v>
      </c>
      <c r="P68" s="12" t="s">
        <v>259</v>
      </c>
      <c r="Q68" s="12" t="s">
        <v>260</v>
      </c>
      <c r="R68" s="12" t="s">
        <v>908</v>
      </c>
      <c r="S68" s="12" t="s">
        <v>271</v>
      </c>
      <c r="T68" s="12" t="s">
        <v>66</v>
      </c>
      <c r="U68" s="12" t="s">
        <v>272</v>
      </c>
      <c r="V68" s="12" t="s">
        <v>1165</v>
      </c>
      <c r="W68" s="12" t="s">
        <v>68</v>
      </c>
      <c r="X68" s="12">
        <v>41.883333</v>
      </c>
      <c r="Y68" s="12">
        <v>12.216666999999999</v>
      </c>
      <c r="Z68" s="14" t="s">
        <v>69</v>
      </c>
      <c r="AA68" s="12">
        <v>1427</v>
      </c>
      <c r="AB68" s="12" t="str">
        <f t="shared" si="20"/>
        <v>41.883333/12.216667</v>
      </c>
      <c r="AC68" s="13" t="s">
        <v>1473</v>
      </c>
      <c r="AD68" s="25">
        <v>46054</v>
      </c>
      <c r="AE68" s="14" t="s">
        <v>70</v>
      </c>
      <c r="AF68" s="14" t="s">
        <v>71</v>
      </c>
      <c r="AG68" s="14" t="s">
        <v>72</v>
      </c>
      <c r="AH68" s="12" t="str">
        <f t="shared" si="17"/>
        <v>Europa | Italy | Piedmont | Borgo San Dalmazzo</v>
      </c>
      <c r="AI68" s="12" t="s">
        <v>73</v>
      </c>
      <c r="AJ68" s="12"/>
      <c r="AK68" s="12" t="s">
        <v>74</v>
      </c>
      <c r="AL68" s="12" t="str">
        <f t="shared" si="21"/>
        <v>ITA</v>
      </c>
      <c r="AM68" s="12" t="s">
        <v>90</v>
      </c>
      <c r="AN68" s="12" t="s">
        <v>160</v>
      </c>
      <c r="AO68" s="12" t="s">
        <v>57</v>
      </c>
      <c r="AP68" s="12" t="s">
        <v>77</v>
      </c>
      <c r="AQ68" s="12" t="s">
        <v>78</v>
      </c>
      <c r="AR68" s="12" t="s">
        <v>79</v>
      </c>
      <c r="AS68" s="12" t="s">
        <v>1238</v>
      </c>
      <c r="AT68" s="12" t="s">
        <v>92</v>
      </c>
      <c r="AU68" s="12" t="s">
        <v>322</v>
      </c>
      <c r="AV68" s="12">
        <v>1</v>
      </c>
      <c r="AW68" s="12">
        <v>1</v>
      </c>
      <c r="AX68" s="12" t="s">
        <v>81</v>
      </c>
      <c r="AY68" s="12" t="s">
        <v>82</v>
      </c>
      <c r="AZ68" s="12" t="s">
        <v>83</v>
      </c>
      <c r="BA68" s="12" t="s">
        <v>84</v>
      </c>
      <c r="BB68" s="12"/>
      <c r="BC68" s="27" t="s">
        <v>1621</v>
      </c>
      <c r="BD68" s="27" t="s">
        <v>1622</v>
      </c>
      <c r="BE68" s="12"/>
    </row>
    <row r="69" spans="1:57" x14ac:dyDescent="0.25">
      <c r="A69" s="12" t="s">
        <v>322</v>
      </c>
      <c r="B69" s="12" t="s">
        <v>57</v>
      </c>
      <c r="C69" s="25">
        <v>22592</v>
      </c>
      <c r="D69" s="12">
        <f t="shared" si="24"/>
        <v>311</v>
      </c>
      <c r="E69" s="23">
        <f t="shared" si="25"/>
        <v>311</v>
      </c>
      <c r="F69" s="12">
        <f t="shared" si="18"/>
        <v>1961</v>
      </c>
      <c r="G69" s="12">
        <f t="shared" si="13"/>
        <v>11</v>
      </c>
      <c r="H69" s="12">
        <f t="shared" si="14"/>
        <v>7</v>
      </c>
      <c r="I69" s="24">
        <f t="shared" si="19"/>
        <v>22592</v>
      </c>
      <c r="J69" s="12" t="s">
        <v>58</v>
      </c>
      <c r="K69" s="12" t="str">
        <f t="shared" si="15"/>
        <v>Anas acuta (Linnaeus, 1758)</v>
      </c>
      <c r="L69" s="12" t="str">
        <f t="shared" si="16"/>
        <v>Animalia|Chordata|Aves|Anseriformes|Anatidae|Anas</v>
      </c>
      <c r="M69" s="12" t="s">
        <v>59</v>
      </c>
      <c r="N69" s="12" t="s">
        <v>60</v>
      </c>
      <c r="O69" s="12" t="s">
        <v>61</v>
      </c>
      <c r="P69" s="12" t="s">
        <v>259</v>
      </c>
      <c r="Q69" s="12" t="s">
        <v>260</v>
      </c>
      <c r="R69" s="12" t="s">
        <v>907</v>
      </c>
      <c r="S69" s="12" t="s">
        <v>286</v>
      </c>
      <c r="T69" s="12" t="s">
        <v>66</v>
      </c>
      <c r="U69" s="12" t="s">
        <v>287</v>
      </c>
      <c r="V69" s="12" t="s">
        <v>1167</v>
      </c>
      <c r="W69" s="12" t="s">
        <v>68</v>
      </c>
      <c r="X69" s="12">
        <v>44.33014</v>
      </c>
      <c r="Y69" s="12">
        <v>7.4859239999999998</v>
      </c>
      <c r="Z69" s="14" t="s">
        <v>69</v>
      </c>
      <c r="AA69" s="12">
        <v>1929</v>
      </c>
      <c r="AB69" s="12" t="str">
        <f t="shared" si="20"/>
        <v>44.33014/7.485924</v>
      </c>
      <c r="AC69" s="13" t="s">
        <v>1473</v>
      </c>
      <c r="AD69" s="25">
        <v>46054</v>
      </c>
      <c r="AE69" s="14" t="s">
        <v>70</v>
      </c>
      <c r="AF69" s="14" t="s">
        <v>71</v>
      </c>
      <c r="AG69" s="14" t="s">
        <v>72</v>
      </c>
      <c r="AH69" s="12" t="str">
        <f t="shared" si="17"/>
        <v>Europa | Italy | Veneto | Valle Morosina</v>
      </c>
      <c r="AI69" s="12" t="s">
        <v>73</v>
      </c>
      <c r="AJ69" s="12"/>
      <c r="AK69" s="12" t="s">
        <v>74</v>
      </c>
      <c r="AL69" s="12" t="str">
        <f t="shared" si="21"/>
        <v>ITA</v>
      </c>
      <c r="AM69" s="12" t="s">
        <v>150</v>
      </c>
      <c r="AN69" s="12" t="s">
        <v>308</v>
      </c>
      <c r="AO69" s="12" t="s">
        <v>57</v>
      </c>
      <c r="AP69" s="12" t="s">
        <v>77</v>
      </c>
      <c r="AQ69" s="12" t="s">
        <v>78</v>
      </c>
      <c r="AR69" s="12" t="s">
        <v>79</v>
      </c>
      <c r="AS69" s="12" t="s">
        <v>1239</v>
      </c>
      <c r="AT69" s="12" t="s">
        <v>80</v>
      </c>
      <c r="AU69" s="12" t="s">
        <v>323</v>
      </c>
      <c r="AV69" s="12">
        <v>1</v>
      </c>
      <c r="AW69" s="12">
        <v>1</v>
      </c>
      <c r="AX69" s="12" t="s">
        <v>81</v>
      </c>
      <c r="AY69" s="12" t="s">
        <v>82</v>
      </c>
      <c r="AZ69" s="12" t="s">
        <v>83</v>
      </c>
      <c r="BA69" s="12" t="s">
        <v>84</v>
      </c>
      <c r="BB69" s="12"/>
      <c r="BC69" s="27" t="s">
        <v>1623</v>
      </c>
      <c r="BD69" s="27" t="s">
        <v>1624</v>
      </c>
      <c r="BE69" s="12"/>
    </row>
    <row r="70" spans="1:57" x14ac:dyDescent="0.25">
      <c r="A70" s="12" t="s">
        <v>323</v>
      </c>
      <c r="B70" s="12" t="s">
        <v>57</v>
      </c>
      <c r="C70" s="25">
        <v>20744</v>
      </c>
      <c r="D70" s="12">
        <f t="shared" si="24"/>
        <v>290</v>
      </c>
      <c r="E70" s="23">
        <f t="shared" si="25"/>
        <v>290</v>
      </c>
      <c r="F70" s="12">
        <f t="shared" si="18"/>
        <v>1956</v>
      </c>
      <c r="G70" s="12">
        <f t="shared" si="13"/>
        <v>10</v>
      </c>
      <c r="H70" s="12">
        <f t="shared" si="14"/>
        <v>16</v>
      </c>
      <c r="I70" s="24">
        <f t="shared" si="19"/>
        <v>20744</v>
      </c>
      <c r="J70" s="12" t="s">
        <v>115</v>
      </c>
      <c r="K70" s="12" t="str">
        <f t="shared" si="15"/>
        <v>Tachybaptus ruficollis (Pallas, 1764)</v>
      </c>
      <c r="L70" s="12" t="str">
        <f t="shared" si="16"/>
        <v>Animalia|Chordata|Aves|Podicipediformes|Podicipedidae|Tachybaptus</v>
      </c>
      <c r="M70" s="12" t="s">
        <v>59</v>
      </c>
      <c r="N70" s="12" t="s">
        <v>60</v>
      </c>
      <c r="O70" s="12" t="s">
        <v>61</v>
      </c>
      <c r="P70" s="12" t="s">
        <v>226</v>
      </c>
      <c r="Q70" s="12" t="s">
        <v>227</v>
      </c>
      <c r="R70" s="12" t="s">
        <v>915</v>
      </c>
      <c r="S70" s="12" t="s">
        <v>325</v>
      </c>
      <c r="T70" s="12" t="s">
        <v>66</v>
      </c>
      <c r="U70" s="12" t="s">
        <v>326</v>
      </c>
      <c r="V70" s="12" t="s">
        <v>1165</v>
      </c>
      <c r="W70" s="12" t="s">
        <v>68</v>
      </c>
      <c r="X70" s="12">
        <v>45.082614999999997</v>
      </c>
      <c r="Y70" s="12">
        <v>12.287164000000001</v>
      </c>
      <c r="Z70" s="14" t="s">
        <v>69</v>
      </c>
      <c r="AA70" s="12">
        <v>7136</v>
      </c>
      <c r="AB70" s="12" t="str">
        <f t="shared" si="20"/>
        <v>45.082615/12.287164</v>
      </c>
      <c r="AC70" s="13" t="s">
        <v>1473</v>
      </c>
      <c r="AD70" s="25">
        <v>46054</v>
      </c>
      <c r="AE70" s="14" t="s">
        <v>70</v>
      </c>
      <c r="AF70" s="14" t="s">
        <v>71</v>
      </c>
      <c r="AG70" s="14" t="s">
        <v>72</v>
      </c>
      <c r="AH70" s="12" t="str">
        <f t="shared" si="17"/>
        <v>Europa | Italy | Veneto | Valle Millecampi</v>
      </c>
      <c r="AI70" s="12" t="s">
        <v>73</v>
      </c>
      <c r="AJ70" s="12"/>
      <c r="AK70" s="12" t="s">
        <v>74</v>
      </c>
      <c r="AL70" s="12" t="str">
        <f t="shared" si="21"/>
        <v>ITA</v>
      </c>
      <c r="AM70" s="12" t="s">
        <v>150</v>
      </c>
      <c r="AN70" s="12" t="s">
        <v>313</v>
      </c>
      <c r="AO70" s="12" t="s">
        <v>57</v>
      </c>
      <c r="AP70" s="12" t="s">
        <v>77</v>
      </c>
      <c r="AQ70" s="12" t="s">
        <v>78</v>
      </c>
      <c r="AR70" s="12" t="s">
        <v>79</v>
      </c>
      <c r="AS70" s="12" t="s">
        <v>1240</v>
      </c>
      <c r="AT70" s="12" t="s">
        <v>92</v>
      </c>
      <c r="AU70" s="12" t="s">
        <v>324</v>
      </c>
      <c r="AV70" s="12">
        <v>1</v>
      </c>
      <c r="AW70" s="12">
        <v>1</v>
      </c>
      <c r="AX70" s="12" t="s">
        <v>81</v>
      </c>
      <c r="AY70" s="12" t="s">
        <v>82</v>
      </c>
      <c r="AZ70" s="12" t="s">
        <v>83</v>
      </c>
      <c r="BA70" s="12" t="s">
        <v>84</v>
      </c>
      <c r="BB70" s="12"/>
      <c r="BC70" s="27" t="s">
        <v>1625</v>
      </c>
      <c r="BD70" s="27" t="s">
        <v>1626</v>
      </c>
      <c r="BE70" s="12"/>
    </row>
    <row r="71" spans="1:57" x14ac:dyDescent="0.25">
      <c r="A71" s="12" t="s">
        <v>324</v>
      </c>
      <c r="B71" s="12" t="s">
        <v>57</v>
      </c>
      <c r="C71" s="12">
        <v>1888</v>
      </c>
      <c r="D71" s="12"/>
      <c r="E71" s="23"/>
      <c r="F71" s="12">
        <f t="shared" si="18"/>
        <v>1888</v>
      </c>
      <c r="G71" s="12"/>
      <c r="H71" s="12"/>
      <c r="I71" s="24">
        <f t="shared" si="19"/>
        <v>1888</v>
      </c>
      <c r="J71" s="12" t="s">
        <v>328</v>
      </c>
      <c r="K71" s="12" t="str">
        <f t="shared" si="15"/>
        <v>Gavia stellata (Pontoppidan, 1763)</v>
      </c>
      <c r="L71" s="12" t="str">
        <f t="shared" si="16"/>
        <v>Animalia|Chordata|Aves|Gaviiformes|Gaviidae|Gavia</v>
      </c>
      <c r="M71" s="12" t="s">
        <v>59</v>
      </c>
      <c r="N71" s="12" t="s">
        <v>60</v>
      </c>
      <c r="O71" s="12" t="s">
        <v>61</v>
      </c>
      <c r="P71" s="12" t="s">
        <v>329</v>
      </c>
      <c r="Q71" s="12" t="s">
        <v>330</v>
      </c>
      <c r="R71" s="12" t="s">
        <v>916</v>
      </c>
      <c r="S71" s="12" t="s">
        <v>331</v>
      </c>
      <c r="T71" s="12" t="s">
        <v>66</v>
      </c>
      <c r="U71" s="12" t="s">
        <v>332</v>
      </c>
      <c r="V71" s="12"/>
      <c r="W71" s="12" t="s">
        <v>68</v>
      </c>
      <c r="X71" s="12">
        <v>41.9</v>
      </c>
      <c r="Y71" s="12">
        <v>12.483333</v>
      </c>
      <c r="Z71" s="14" t="s">
        <v>69</v>
      </c>
      <c r="AA71" s="12">
        <v>4941</v>
      </c>
      <c r="AB71" s="12" t="str">
        <f t="shared" si="20"/>
        <v>41.9/12.483333</v>
      </c>
      <c r="AC71" s="13" t="s">
        <v>1473</v>
      </c>
      <c r="AD71" s="25">
        <v>46054</v>
      </c>
      <c r="AE71" s="14" t="s">
        <v>70</v>
      </c>
      <c r="AF71" s="14" t="s">
        <v>71</v>
      </c>
      <c r="AG71" s="14" t="s">
        <v>72</v>
      </c>
      <c r="AH71" s="12" t="str">
        <f t="shared" si="17"/>
        <v>Europa | Italy | Lazio | Rome</v>
      </c>
      <c r="AI71" s="12" t="s">
        <v>73</v>
      </c>
      <c r="AJ71" s="12"/>
      <c r="AK71" s="12" t="s">
        <v>74</v>
      </c>
      <c r="AL71" s="12" t="str">
        <f t="shared" si="21"/>
        <v>ITA</v>
      </c>
      <c r="AM71" s="12" t="s">
        <v>75</v>
      </c>
      <c r="AN71" s="12" t="s">
        <v>153</v>
      </c>
      <c r="AO71" s="12" t="s">
        <v>57</v>
      </c>
      <c r="AP71" s="12" t="s">
        <v>77</v>
      </c>
      <c r="AQ71" s="12" t="s">
        <v>78</v>
      </c>
      <c r="AR71" s="12" t="s">
        <v>79</v>
      </c>
      <c r="AS71" s="12" t="s">
        <v>1241</v>
      </c>
      <c r="AT71" s="12"/>
      <c r="AU71" s="12" t="s">
        <v>327</v>
      </c>
      <c r="AV71" s="12">
        <v>1</v>
      </c>
      <c r="AW71" s="12">
        <v>1</v>
      </c>
      <c r="AX71" s="12" t="s">
        <v>81</v>
      </c>
      <c r="AY71" s="12" t="s">
        <v>82</v>
      </c>
      <c r="AZ71" s="12" t="s">
        <v>83</v>
      </c>
      <c r="BA71" s="12" t="s">
        <v>84</v>
      </c>
      <c r="BB71" s="12"/>
      <c r="BC71" s="27" t="s">
        <v>1627</v>
      </c>
      <c r="BD71" s="27" t="s">
        <v>1628</v>
      </c>
      <c r="BE71" s="12"/>
    </row>
    <row r="72" spans="1:57" x14ac:dyDescent="0.25">
      <c r="A72" s="12" t="s">
        <v>327</v>
      </c>
      <c r="B72" s="12" t="s">
        <v>57</v>
      </c>
      <c r="C72" s="12">
        <v>1875</v>
      </c>
      <c r="D72" s="12"/>
      <c r="E72" s="23"/>
      <c r="F72" s="12">
        <f t="shared" si="18"/>
        <v>1875</v>
      </c>
      <c r="G72" s="12"/>
      <c r="H72" s="12"/>
      <c r="I72" s="24">
        <f t="shared" si="19"/>
        <v>1875</v>
      </c>
      <c r="J72" s="12" t="s">
        <v>334</v>
      </c>
      <c r="K72" s="12" t="str">
        <f t="shared" si="15"/>
        <v>Podiceps nigricollis (Brehm, 1831)</v>
      </c>
      <c r="L72" s="12" t="str">
        <f t="shared" si="16"/>
        <v>Animalia|Chordata|Aves|Podicipediformes|Podicipedidae|Podiceps</v>
      </c>
      <c r="M72" s="12" t="s">
        <v>59</v>
      </c>
      <c r="N72" s="12" t="s">
        <v>60</v>
      </c>
      <c r="O72" s="12" t="s">
        <v>61</v>
      </c>
      <c r="P72" s="12" t="s">
        <v>226</v>
      </c>
      <c r="Q72" s="12" t="s">
        <v>227</v>
      </c>
      <c r="R72" s="12" t="s">
        <v>898</v>
      </c>
      <c r="S72" s="12" t="s">
        <v>335</v>
      </c>
      <c r="T72" s="12" t="s">
        <v>66</v>
      </c>
      <c r="U72" s="12" t="s">
        <v>336</v>
      </c>
      <c r="V72" s="12"/>
      <c r="W72" s="12" t="s">
        <v>68</v>
      </c>
      <c r="X72" s="12">
        <v>41.9</v>
      </c>
      <c r="Y72" s="12">
        <v>12.483333</v>
      </c>
      <c r="Z72" s="14" t="s">
        <v>69</v>
      </c>
      <c r="AA72" s="12">
        <v>36625</v>
      </c>
      <c r="AB72" s="12" t="str">
        <f t="shared" si="20"/>
        <v>41.9/12.483333</v>
      </c>
      <c r="AC72" s="13" t="s">
        <v>1473</v>
      </c>
      <c r="AD72" s="25">
        <v>46054</v>
      </c>
      <c r="AE72" s="14" t="s">
        <v>70</v>
      </c>
      <c r="AF72" s="14" t="s">
        <v>71</v>
      </c>
      <c r="AG72" s="14" t="s">
        <v>72</v>
      </c>
      <c r="AH72" s="12" t="str">
        <f t="shared" si="17"/>
        <v>Europa | Italy | Lazio | Rome</v>
      </c>
      <c r="AI72" s="12" t="s">
        <v>73</v>
      </c>
      <c r="AJ72" s="12"/>
      <c r="AK72" s="12" t="s">
        <v>74</v>
      </c>
      <c r="AL72" s="12" t="str">
        <f t="shared" si="21"/>
        <v>ITA</v>
      </c>
      <c r="AM72" s="12" t="s">
        <v>75</v>
      </c>
      <c r="AN72" s="12" t="s">
        <v>153</v>
      </c>
      <c r="AO72" s="12" t="s">
        <v>57</v>
      </c>
      <c r="AP72" s="12" t="s">
        <v>77</v>
      </c>
      <c r="AQ72" s="12" t="s">
        <v>78</v>
      </c>
      <c r="AR72" s="12" t="s">
        <v>79</v>
      </c>
      <c r="AS72" s="12" t="s">
        <v>1242</v>
      </c>
      <c r="AT72" s="12"/>
      <c r="AU72" s="12" t="s">
        <v>333</v>
      </c>
      <c r="AV72" s="12">
        <v>1</v>
      </c>
      <c r="AW72" s="12">
        <v>1</v>
      </c>
      <c r="AX72" s="12" t="s">
        <v>81</v>
      </c>
      <c r="AY72" s="12" t="s">
        <v>82</v>
      </c>
      <c r="AZ72" s="12" t="s">
        <v>83</v>
      </c>
      <c r="BA72" s="12" t="s">
        <v>84</v>
      </c>
      <c r="BB72" s="12"/>
      <c r="BC72" s="27" t="s">
        <v>1629</v>
      </c>
      <c r="BD72" s="27" t="s">
        <v>1630</v>
      </c>
      <c r="BE72" s="12"/>
    </row>
    <row r="73" spans="1:57" x14ac:dyDescent="0.25">
      <c r="A73" s="12" t="s">
        <v>333</v>
      </c>
      <c r="B73" s="12" t="s">
        <v>57</v>
      </c>
      <c r="C73" s="12">
        <v>1875</v>
      </c>
      <c r="D73" s="12"/>
      <c r="E73" s="23"/>
      <c r="F73" s="12">
        <f t="shared" si="18"/>
        <v>1875</v>
      </c>
      <c r="G73" s="12"/>
      <c r="H73" s="12"/>
      <c r="I73" s="24">
        <f t="shared" si="19"/>
        <v>1875</v>
      </c>
      <c r="J73" s="12" t="s">
        <v>58</v>
      </c>
      <c r="K73" s="12" t="str">
        <f t="shared" si="15"/>
        <v>Aythya ferina (Linnaeus, 1758)</v>
      </c>
      <c r="L73" s="12" t="str">
        <f t="shared" si="16"/>
        <v>Animalia|Chordata|Aves|Anseriformes|Anatidae|Aythya</v>
      </c>
      <c r="M73" s="12" t="s">
        <v>59</v>
      </c>
      <c r="N73" s="12" t="s">
        <v>60</v>
      </c>
      <c r="O73" s="12" t="s">
        <v>61</v>
      </c>
      <c r="P73" s="12" t="s">
        <v>259</v>
      </c>
      <c r="Q73" s="12" t="s">
        <v>260</v>
      </c>
      <c r="R73" s="12" t="s">
        <v>906</v>
      </c>
      <c r="S73" s="12" t="s">
        <v>265</v>
      </c>
      <c r="T73" s="12" t="s">
        <v>66</v>
      </c>
      <c r="U73" s="12" t="s">
        <v>266</v>
      </c>
      <c r="V73" s="12"/>
      <c r="W73" s="12" t="s">
        <v>68</v>
      </c>
      <c r="X73" s="12">
        <v>41.9</v>
      </c>
      <c r="Y73" s="12">
        <v>12.483333</v>
      </c>
      <c r="Z73" s="14" t="s">
        <v>69</v>
      </c>
      <c r="AA73" s="12">
        <v>36625</v>
      </c>
      <c r="AB73" s="12" t="str">
        <f t="shared" si="20"/>
        <v>41.9/12.483333</v>
      </c>
      <c r="AC73" s="13" t="s">
        <v>1473</v>
      </c>
      <c r="AD73" s="25">
        <v>46054</v>
      </c>
      <c r="AE73" s="14" t="s">
        <v>70</v>
      </c>
      <c r="AF73" s="14" t="s">
        <v>71</v>
      </c>
      <c r="AG73" s="14" t="s">
        <v>72</v>
      </c>
      <c r="AH73" s="12" t="str">
        <f t="shared" si="17"/>
        <v>Europa | Italy | Lazio | Rome</v>
      </c>
      <c r="AI73" s="12" t="s">
        <v>73</v>
      </c>
      <c r="AJ73" s="12"/>
      <c r="AK73" s="12" t="s">
        <v>74</v>
      </c>
      <c r="AL73" s="12" t="str">
        <f t="shared" si="21"/>
        <v>ITA</v>
      </c>
      <c r="AM73" s="12" t="s">
        <v>75</v>
      </c>
      <c r="AN73" s="12" t="s">
        <v>153</v>
      </c>
      <c r="AO73" s="12" t="s">
        <v>57</v>
      </c>
      <c r="AP73" s="12" t="s">
        <v>77</v>
      </c>
      <c r="AQ73" s="12" t="s">
        <v>78</v>
      </c>
      <c r="AR73" s="12" t="s">
        <v>79</v>
      </c>
      <c r="AS73" s="12" t="s">
        <v>1243</v>
      </c>
      <c r="AT73" s="12"/>
      <c r="AU73" s="12" t="s">
        <v>337</v>
      </c>
      <c r="AV73" s="12">
        <v>1</v>
      </c>
      <c r="AW73" s="12">
        <v>1</v>
      </c>
      <c r="AX73" s="12" t="s">
        <v>81</v>
      </c>
      <c r="AY73" s="12" t="s">
        <v>82</v>
      </c>
      <c r="AZ73" s="12" t="s">
        <v>83</v>
      </c>
      <c r="BA73" s="12" t="s">
        <v>84</v>
      </c>
      <c r="BB73" s="12"/>
      <c r="BC73" s="27" t="s">
        <v>1631</v>
      </c>
      <c r="BD73" s="27" t="s">
        <v>1632</v>
      </c>
      <c r="BE73" s="12"/>
    </row>
    <row r="74" spans="1:57" x14ac:dyDescent="0.25">
      <c r="A74" s="12" t="s">
        <v>337</v>
      </c>
      <c r="B74" s="12" t="s">
        <v>57</v>
      </c>
      <c r="C74" s="12">
        <v>1895</v>
      </c>
      <c r="D74" s="12"/>
      <c r="E74" s="23"/>
      <c r="F74" s="12">
        <f t="shared" si="18"/>
        <v>1895</v>
      </c>
      <c r="G74" s="12"/>
      <c r="H74" s="12"/>
      <c r="I74" s="24">
        <f t="shared" si="19"/>
        <v>1895</v>
      </c>
      <c r="J74" s="12" t="s">
        <v>58</v>
      </c>
      <c r="K74" s="12" t="str">
        <f t="shared" si="15"/>
        <v>Mergus serrator (Linnaeus, 1758)</v>
      </c>
      <c r="L74" s="12" t="str">
        <f t="shared" si="16"/>
        <v>Animalia|Chordata|Aves|Anseriformes|Anatidae|Mergus</v>
      </c>
      <c r="M74" s="12" t="s">
        <v>59</v>
      </c>
      <c r="N74" s="12" t="s">
        <v>60</v>
      </c>
      <c r="O74" s="12" t="s">
        <v>61</v>
      </c>
      <c r="P74" s="12" t="s">
        <v>259</v>
      </c>
      <c r="Q74" s="12" t="s">
        <v>260</v>
      </c>
      <c r="R74" s="12" t="s">
        <v>912</v>
      </c>
      <c r="S74" s="12" t="s">
        <v>302</v>
      </c>
      <c r="T74" s="12" t="s">
        <v>66</v>
      </c>
      <c r="U74" s="12" t="s">
        <v>303</v>
      </c>
      <c r="V74" s="12"/>
      <c r="W74" s="12" t="s">
        <v>68</v>
      </c>
      <c r="X74" s="12">
        <v>41.9</v>
      </c>
      <c r="Y74" s="12">
        <v>12.483333</v>
      </c>
      <c r="Z74" s="14" t="s">
        <v>69</v>
      </c>
      <c r="AA74" s="12">
        <v>36625</v>
      </c>
      <c r="AB74" s="12" t="str">
        <f t="shared" si="20"/>
        <v>41.9/12.483333</v>
      </c>
      <c r="AC74" s="13" t="s">
        <v>1473</v>
      </c>
      <c r="AD74" s="25">
        <v>46054</v>
      </c>
      <c r="AE74" s="14" t="s">
        <v>70</v>
      </c>
      <c r="AF74" s="14" t="s">
        <v>71</v>
      </c>
      <c r="AG74" s="14" t="s">
        <v>72</v>
      </c>
      <c r="AH74" s="12" t="str">
        <f t="shared" si="17"/>
        <v>Europa | Italy | Lazio | Maccarese</v>
      </c>
      <c r="AI74" s="12" t="s">
        <v>73</v>
      </c>
      <c r="AJ74" s="12"/>
      <c r="AK74" s="12" t="s">
        <v>74</v>
      </c>
      <c r="AL74" s="12" t="str">
        <f t="shared" si="21"/>
        <v>ITA</v>
      </c>
      <c r="AM74" s="12" t="s">
        <v>75</v>
      </c>
      <c r="AN74" s="12" t="s">
        <v>304</v>
      </c>
      <c r="AO74" s="12" t="s">
        <v>57</v>
      </c>
      <c r="AP74" s="12" t="s">
        <v>77</v>
      </c>
      <c r="AQ74" s="12" t="s">
        <v>78</v>
      </c>
      <c r="AR74" s="12" t="s">
        <v>79</v>
      </c>
      <c r="AS74" s="12" t="s">
        <v>1244</v>
      </c>
      <c r="AT74" s="12" t="s">
        <v>92</v>
      </c>
      <c r="AU74" s="12" t="s">
        <v>338</v>
      </c>
      <c r="AV74" s="12">
        <v>1</v>
      </c>
      <c r="AW74" s="12">
        <v>1</v>
      </c>
      <c r="AX74" s="12" t="s">
        <v>81</v>
      </c>
      <c r="AY74" s="12" t="s">
        <v>82</v>
      </c>
      <c r="AZ74" s="12" t="s">
        <v>83</v>
      </c>
      <c r="BA74" s="12" t="s">
        <v>84</v>
      </c>
      <c r="BB74" s="12"/>
      <c r="BC74" s="27" t="s">
        <v>1633</v>
      </c>
      <c r="BD74" s="27" t="s">
        <v>1634</v>
      </c>
      <c r="BE74" s="12"/>
    </row>
    <row r="75" spans="1:57" x14ac:dyDescent="0.25">
      <c r="A75" s="12" t="s">
        <v>338</v>
      </c>
      <c r="B75" s="12" t="s">
        <v>57</v>
      </c>
      <c r="C75" s="12">
        <v>1960</v>
      </c>
      <c r="D75" s="12"/>
      <c r="E75" s="23"/>
      <c r="F75" s="12">
        <f t="shared" si="18"/>
        <v>1960</v>
      </c>
      <c r="G75" s="12"/>
      <c r="H75" s="12"/>
      <c r="I75" s="24">
        <f t="shared" si="19"/>
        <v>1960</v>
      </c>
      <c r="J75" s="12" t="s">
        <v>58</v>
      </c>
      <c r="K75" s="12" t="str">
        <f t="shared" si="15"/>
        <v>Mareca penelope (Linnaeus, 1758)</v>
      </c>
      <c r="L75" s="12" t="str">
        <f t="shared" si="16"/>
        <v>Animalia|Chordata|Aves|Anseriformes|Anatidae|Mareca</v>
      </c>
      <c r="M75" s="12" t="s">
        <v>59</v>
      </c>
      <c r="N75" s="12" t="s">
        <v>60</v>
      </c>
      <c r="O75" s="12" t="s">
        <v>61</v>
      </c>
      <c r="P75" s="12" t="s">
        <v>259</v>
      </c>
      <c r="Q75" s="12" t="s">
        <v>260</v>
      </c>
      <c r="R75" s="12" t="s">
        <v>905</v>
      </c>
      <c r="S75" s="12" t="s">
        <v>261</v>
      </c>
      <c r="T75" s="12" t="s">
        <v>66</v>
      </c>
      <c r="U75" s="12" t="s">
        <v>262</v>
      </c>
      <c r="V75" s="12"/>
      <c r="W75" s="12" t="s">
        <v>68</v>
      </c>
      <c r="X75" s="12">
        <v>41.883333</v>
      </c>
      <c r="Y75" s="12">
        <v>12.216666999999999</v>
      </c>
      <c r="Z75" s="14" t="s">
        <v>69</v>
      </c>
      <c r="AA75" s="12">
        <v>1427</v>
      </c>
      <c r="AB75" s="12" t="str">
        <f t="shared" si="20"/>
        <v>41.883333/12.216667</v>
      </c>
      <c r="AC75" s="13" t="s">
        <v>1473</v>
      </c>
      <c r="AD75" s="25">
        <v>46054</v>
      </c>
      <c r="AE75" s="14" t="s">
        <v>70</v>
      </c>
      <c r="AF75" s="14" t="s">
        <v>71</v>
      </c>
      <c r="AG75" s="14" t="s">
        <v>72</v>
      </c>
      <c r="AH75" s="12" t="str">
        <f t="shared" si="17"/>
        <v>Europa | Italy | Lazio | Saline di Tarquinia</v>
      </c>
      <c r="AI75" s="12" t="s">
        <v>73</v>
      </c>
      <c r="AJ75" s="12"/>
      <c r="AK75" s="12" t="s">
        <v>74</v>
      </c>
      <c r="AL75" s="12" t="str">
        <f t="shared" si="21"/>
        <v>ITA</v>
      </c>
      <c r="AM75" s="12" t="s">
        <v>75</v>
      </c>
      <c r="AN75" s="12" t="s">
        <v>340</v>
      </c>
      <c r="AO75" s="12" t="s">
        <v>57</v>
      </c>
      <c r="AP75" s="12" t="s">
        <v>77</v>
      </c>
      <c r="AQ75" s="12" t="s">
        <v>78</v>
      </c>
      <c r="AR75" s="12" t="s">
        <v>79</v>
      </c>
      <c r="AS75" s="12" t="s">
        <v>1245</v>
      </c>
      <c r="AT75" s="12" t="s">
        <v>92</v>
      </c>
      <c r="AU75" s="12" t="s">
        <v>339</v>
      </c>
      <c r="AV75" s="12">
        <v>1</v>
      </c>
      <c r="AW75" s="12">
        <v>1</v>
      </c>
      <c r="AX75" s="12" t="s">
        <v>81</v>
      </c>
      <c r="AY75" s="12" t="s">
        <v>82</v>
      </c>
      <c r="AZ75" s="12" t="s">
        <v>83</v>
      </c>
      <c r="BA75" s="12" t="s">
        <v>84</v>
      </c>
      <c r="BB75" s="12"/>
      <c r="BC75" s="27" t="s">
        <v>1635</v>
      </c>
      <c r="BD75" s="27" t="s">
        <v>1636</v>
      </c>
      <c r="BE75" s="12"/>
    </row>
    <row r="76" spans="1:57" x14ac:dyDescent="0.25">
      <c r="A76" s="12" t="s">
        <v>339</v>
      </c>
      <c r="B76" s="12" t="s">
        <v>57</v>
      </c>
      <c r="C76" s="12">
        <v>1960</v>
      </c>
      <c r="D76" s="12"/>
      <c r="E76" s="23"/>
      <c r="F76" s="12">
        <f t="shared" si="18"/>
        <v>1960</v>
      </c>
      <c r="G76" s="12"/>
      <c r="H76" s="12"/>
      <c r="I76" s="24">
        <f t="shared" si="19"/>
        <v>1960</v>
      </c>
      <c r="J76" s="12" t="s">
        <v>58</v>
      </c>
      <c r="K76" s="12" t="str">
        <f t="shared" si="15"/>
        <v>Mareca penelope (Linnaeus, 1758)</v>
      </c>
      <c r="L76" s="12" t="str">
        <f t="shared" si="16"/>
        <v>Animalia|Chordata|Aves|Anseriformes|Anatidae|Mareca</v>
      </c>
      <c r="M76" s="12" t="s">
        <v>59</v>
      </c>
      <c r="N76" s="12" t="s">
        <v>60</v>
      </c>
      <c r="O76" s="12" t="s">
        <v>61</v>
      </c>
      <c r="P76" s="12" t="s">
        <v>259</v>
      </c>
      <c r="Q76" s="12" t="s">
        <v>260</v>
      </c>
      <c r="R76" s="12" t="s">
        <v>905</v>
      </c>
      <c r="S76" s="12" t="s">
        <v>261</v>
      </c>
      <c r="T76" s="12" t="s">
        <v>66</v>
      </c>
      <c r="U76" s="12" t="s">
        <v>262</v>
      </c>
      <c r="V76" s="12"/>
      <c r="W76" s="12" t="s">
        <v>68</v>
      </c>
      <c r="X76" s="12">
        <v>42.205531999999998</v>
      </c>
      <c r="Y76" s="12">
        <v>11.718856000000001</v>
      </c>
      <c r="Z76" s="14" t="s">
        <v>69</v>
      </c>
      <c r="AA76" s="12">
        <v>957</v>
      </c>
      <c r="AB76" s="12" t="str">
        <f t="shared" si="20"/>
        <v>42.205532/11.718856</v>
      </c>
      <c r="AC76" s="13" t="s">
        <v>1473</v>
      </c>
      <c r="AD76" s="25">
        <v>46054</v>
      </c>
      <c r="AE76" s="14" t="s">
        <v>70</v>
      </c>
      <c r="AF76" s="14" t="s">
        <v>71</v>
      </c>
      <c r="AG76" s="14" t="s">
        <v>72</v>
      </c>
      <c r="AH76" s="12" t="str">
        <f t="shared" si="17"/>
        <v>Europa | Italy | Lazio | Saline di Tarquinia</v>
      </c>
      <c r="AI76" s="12" t="s">
        <v>73</v>
      </c>
      <c r="AJ76" s="12"/>
      <c r="AK76" s="12" t="s">
        <v>74</v>
      </c>
      <c r="AL76" s="12" t="str">
        <f t="shared" si="21"/>
        <v>ITA</v>
      </c>
      <c r="AM76" s="12" t="s">
        <v>75</v>
      </c>
      <c r="AN76" s="12" t="s">
        <v>340</v>
      </c>
      <c r="AO76" s="12" t="s">
        <v>57</v>
      </c>
      <c r="AP76" s="12" t="s">
        <v>77</v>
      </c>
      <c r="AQ76" s="12" t="s">
        <v>78</v>
      </c>
      <c r="AR76" s="12" t="s">
        <v>79</v>
      </c>
      <c r="AS76" s="12" t="s">
        <v>1246</v>
      </c>
      <c r="AT76" s="12" t="s">
        <v>80</v>
      </c>
      <c r="AU76" s="12" t="s">
        <v>341</v>
      </c>
      <c r="AV76" s="12">
        <v>1</v>
      </c>
      <c r="AW76" s="12">
        <v>1</v>
      </c>
      <c r="AX76" s="12" t="s">
        <v>81</v>
      </c>
      <c r="AY76" s="12" t="s">
        <v>82</v>
      </c>
      <c r="AZ76" s="12" t="s">
        <v>83</v>
      </c>
      <c r="BA76" s="12" t="s">
        <v>84</v>
      </c>
      <c r="BB76" s="12"/>
      <c r="BC76" s="27" t="s">
        <v>1637</v>
      </c>
      <c r="BD76" s="27" t="s">
        <v>1638</v>
      </c>
      <c r="BE76" s="12"/>
    </row>
    <row r="77" spans="1:57" x14ac:dyDescent="0.25">
      <c r="A77" s="12" t="s">
        <v>341</v>
      </c>
      <c r="B77" s="12" t="s">
        <v>57</v>
      </c>
      <c r="C77" s="25">
        <v>21259</v>
      </c>
      <c r="D77" s="12">
        <f t="shared" si="24"/>
        <v>74</v>
      </c>
      <c r="E77" s="23">
        <f t="shared" si="25"/>
        <v>74</v>
      </c>
      <c r="F77" s="12">
        <f t="shared" si="18"/>
        <v>1958</v>
      </c>
      <c r="G77" s="12">
        <f t="shared" si="13"/>
        <v>3</v>
      </c>
      <c r="H77" s="12">
        <f t="shared" si="14"/>
        <v>15</v>
      </c>
      <c r="I77" s="24">
        <f t="shared" si="19"/>
        <v>21259</v>
      </c>
      <c r="J77" s="12" t="s">
        <v>58</v>
      </c>
      <c r="K77" s="12" t="str">
        <f t="shared" si="15"/>
        <v>Spatula querquedula (Linnaeus, 1758)</v>
      </c>
      <c r="L77" s="12" t="str">
        <f t="shared" si="16"/>
        <v>Animalia|Chordata|Aves|Anseriformes|Anatidae|Spatula</v>
      </c>
      <c r="M77" s="12" t="s">
        <v>59</v>
      </c>
      <c r="N77" s="12" t="s">
        <v>60</v>
      </c>
      <c r="O77" s="12" t="s">
        <v>61</v>
      </c>
      <c r="P77" s="12" t="s">
        <v>259</v>
      </c>
      <c r="Q77" s="12" t="s">
        <v>260</v>
      </c>
      <c r="R77" s="12" t="s">
        <v>908</v>
      </c>
      <c r="S77" s="12" t="s">
        <v>271</v>
      </c>
      <c r="T77" s="12" t="s">
        <v>66</v>
      </c>
      <c r="U77" s="12" t="s">
        <v>272</v>
      </c>
      <c r="V77" s="12" t="s">
        <v>1165</v>
      </c>
      <c r="W77" s="12" t="s">
        <v>68</v>
      </c>
      <c r="X77" s="12">
        <v>42.205531999999998</v>
      </c>
      <c r="Y77" s="12">
        <v>11.718856000000001</v>
      </c>
      <c r="Z77" s="14" t="s">
        <v>69</v>
      </c>
      <c r="AA77" s="12">
        <v>957</v>
      </c>
      <c r="AB77" s="12" t="str">
        <f t="shared" si="20"/>
        <v>42.205532/11.718856</v>
      </c>
      <c r="AC77" s="13" t="s">
        <v>1473</v>
      </c>
      <c r="AD77" s="25">
        <v>46054</v>
      </c>
      <c r="AE77" s="14" t="s">
        <v>70</v>
      </c>
      <c r="AF77" s="14" t="s">
        <v>71</v>
      </c>
      <c r="AG77" s="14" t="s">
        <v>72</v>
      </c>
      <c r="AH77" s="12" t="str">
        <f t="shared" si="17"/>
        <v>Europa | Italy | Piedmont | Casale Monferrato</v>
      </c>
      <c r="AI77" s="12" t="s">
        <v>73</v>
      </c>
      <c r="AJ77" s="12"/>
      <c r="AK77" s="12" t="s">
        <v>74</v>
      </c>
      <c r="AL77" s="12" t="str">
        <f t="shared" si="21"/>
        <v>ITA</v>
      </c>
      <c r="AM77" s="12" t="s">
        <v>90</v>
      </c>
      <c r="AN77" s="12" t="s">
        <v>310</v>
      </c>
      <c r="AO77" s="12" t="s">
        <v>57</v>
      </c>
      <c r="AP77" s="12" t="s">
        <v>77</v>
      </c>
      <c r="AQ77" s="12" t="s">
        <v>78</v>
      </c>
      <c r="AR77" s="12" t="s">
        <v>79</v>
      </c>
      <c r="AS77" s="12" t="s">
        <v>1247</v>
      </c>
      <c r="AT77" s="12" t="s">
        <v>80</v>
      </c>
      <c r="AU77" s="12" t="s">
        <v>342</v>
      </c>
      <c r="AV77" s="12">
        <v>1</v>
      </c>
      <c r="AW77" s="12">
        <v>1</v>
      </c>
      <c r="AX77" s="12" t="s">
        <v>81</v>
      </c>
      <c r="AY77" s="12" t="s">
        <v>82</v>
      </c>
      <c r="AZ77" s="12" t="s">
        <v>83</v>
      </c>
      <c r="BA77" s="12" t="s">
        <v>84</v>
      </c>
      <c r="BB77" s="12"/>
      <c r="BC77" s="27" t="s">
        <v>1639</v>
      </c>
      <c r="BD77" s="27" t="s">
        <v>1640</v>
      </c>
      <c r="BE77" s="12"/>
    </row>
    <row r="78" spans="1:57" x14ac:dyDescent="0.25">
      <c r="A78" s="12" t="s">
        <v>342</v>
      </c>
      <c r="B78" s="12" t="s">
        <v>57</v>
      </c>
      <c r="C78" s="25">
        <v>21499</v>
      </c>
      <c r="D78" s="12">
        <f t="shared" si="24"/>
        <v>314</v>
      </c>
      <c r="E78" s="23">
        <f t="shared" si="25"/>
        <v>314</v>
      </c>
      <c r="F78" s="12">
        <f t="shared" si="18"/>
        <v>1958</v>
      </c>
      <c r="G78" s="12">
        <f t="shared" si="13"/>
        <v>11</v>
      </c>
      <c r="H78" s="12">
        <f t="shared" si="14"/>
        <v>10</v>
      </c>
      <c r="I78" s="24">
        <f t="shared" si="19"/>
        <v>21499</v>
      </c>
      <c r="J78" s="12" t="s">
        <v>58</v>
      </c>
      <c r="K78" s="12" t="str">
        <f t="shared" si="15"/>
        <v>Anas crecca (Linnaeus, 1758)</v>
      </c>
      <c r="L78" s="12" t="str">
        <f t="shared" si="16"/>
        <v>Animalia|Chordata|Aves|Anseriformes|Anatidae|Anas</v>
      </c>
      <c r="M78" s="12" t="s">
        <v>59</v>
      </c>
      <c r="N78" s="12" t="s">
        <v>60</v>
      </c>
      <c r="O78" s="12" t="s">
        <v>61</v>
      </c>
      <c r="P78" s="12" t="s">
        <v>259</v>
      </c>
      <c r="Q78" s="12" t="s">
        <v>260</v>
      </c>
      <c r="R78" s="12" t="s">
        <v>907</v>
      </c>
      <c r="S78" s="12" t="s">
        <v>268</v>
      </c>
      <c r="T78" s="12" t="s">
        <v>66</v>
      </c>
      <c r="U78" s="12" t="s">
        <v>269</v>
      </c>
      <c r="V78" s="12" t="s">
        <v>1165</v>
      </c>
      <c r="W78" s="12" t="s">
        <v>68</v>
      </c>
      <c r="X78" s="12">
        <v>45.133333</v>
      </c>
      <c r="Y78" s="12">
        <v>8.4499999999999993</v>
      </c>
      <c r="Z78" s="14" t="s">
        <v>69</v>
      </c>
      <c r="AA78" s="12">
        <v>2452</v>
      </c>
      <c r="AB78" s="12" t="str">
        <f t="shared" si="20"/>
        <v>45.133333/8.45</v>
      </c>
      <c r="AC78" s="13" t="s">
        <v>1473</v>
      </c>
      <c r="AD78" s="25">
        <v>46054</v>
      </c>
      <c r="AE78" s="14" t="s">
        <v>70</v>
      </c>
      <c r="AF78" s="14" t="s">
        <v>71</v>
      </c>
      <c r="AG78" s="14" t="s">
        <v>72</v>
      </c>
      <c r="AH78" s="12" t="str">
        <f t="shared" si="17"/>
        <v>Europa | Italy | Piedmont | Borgo San Dalmazzo</v>
      </c>
      <c r="AI78" s="12" t="s">
        <v>73</v>
      </c>
      <c r="AJ78" s="12"/>
      <c r="AK78" s="12" t="s">
        <v>74</v>
      </c>
      <c r="AL78" s="12" t="str">
        <f t="shared" si="21"/>
        <v>ITA</v>
      </c>
      <c r="AM78" s="12" t="s">
        <v>90</v>
      </c>
      <c r="AN78" s="12" t="s">
        <v>160</v>
      </c>
      <c r="AO78" s="12" t="s">
        <v>57</v>
      </c>
      <c r="AP78" s="12" t="s">
        <v>77</v>
      </c>
      <c r="AQ78" s="12" t="s">
        <v>78</v>
      </c>
      <c r="AR78" s="12" t="s">
        <v>79</v>
      </c>
      <c r="AS78" s="12" t="s">
        <v>1248</v>
      </c>
      <c r="AT78" s="12" t="s">
        <v>92</v>
      </c>
      <c r="AU78" s="12" t="s">
        <v>343</v>
      </c>
      <c r="AV78" s="12">
        <v>1</v>
      </c>
      <c r="AW78" s="12">
        <v>1</v>
      </c>
      <c r="AX78" s="12" t="s">
        <v>81</v>
      </c>
      <c r="AY78" s="12" t="s">
        <v>82</v>
      </c>
      <c r="AZ78" s="12" t="s">
        <v>83</v>
      </c>
      <c r="BA78" s="12" t="s">
        <v>84</v>
      </c>
      <c r="BB78" s="12"/>
      <c r="BC78" s="27" t="s">
        <v>1641</v>
      </c>
      <c r="BD78" s="27" t="s">
        <v>1642</v>
      </c>
      <c r="BE78" s="12"/>
    </row>
    <row r="79" spans="1:57" x14ac:dyDescent="0.25">
      <c r="A79" s="12" t="s">
        <v>343</v>
      </c>
      <c r="B79" s="12" t="s">
        <v>57</v>
      </c>
      <c r="C79" s="12">
        <v>1875</v>
      </c>
      <c r="D79" s="12"/>
      <c r="E79" s="23"/>
      <c r="F79" s="12">
        <f t="shared" ref="F79:F80" si="26">IFERROR(IF(C79="","",IF(C79&lt;10000,C79,YEAR(C79))),"")</f>
        <v>1875</v>
      </c>
      <c r="G79" s="12"/>
      <c r="H79" s="12"/>
      <c r="I79" s="24">
        <f t="shared" si="19"/>
        <v>1875</v>
      </c>
      <c r="J79" s="12" t="s">
        <v>58</v>
      </c>
      <c r="K79" s="12" t="str">
        <f t="shared" si="15"/>
        <v>Anas platyrhynchos (Linnaeus, 1758)</v>
      </c>
      <c r="L79" s="12" t="str">
        <f t="shared" si="16"/>
        <v>Animalia|Chordata|Aves|Anseriformes|Anatidae|Anas</v>
      </c>
      <c r="M79" s="12" t="s">
        <v>59</v>
      </c>
      <c r="N79" s="12" t="s">
        <v>60</v>
      </c>
      <c r="O79" s="12" t="s">
        <v>61</v>
      </c>
      <c r="P79" s="12" t="s">
        <v>259</v>
      </c>
      <c r="Q79" s="12" t="s">
        <v>260</v>
      </c>
      <c r="R79" s="12" t="s">
        <v>907</v>
      </c>
      <c r="S79" s="12" t="s">
        <v>279</v>
      </c>
      <c r="T79" s="12" t="s">
        <v>66</v>
      </c>
      <c r="U79" s="12" t="s">
        <v>280</v>
      </c>
      <c r="V79" s="12" t="s">
        <v>1167</v>
      </c>
      <c r="W79" s="12" t="s">
        <v>68</v>
      </c>
      <c r="X79" s="12">
        <v>41.9</v>
      </c>
      <c r="Y79" s="12">
        <v>12.483333</v>
      </c>
      <c r="Z79" s="14" t="s">
        <v>69</v>
      </c>
      <c r="AA79" s="12">
        <v>36625</v>
      </c>
      <c r="AB79" s="12" t="str">
        <f t="shared" si="20"/>
        <v>41.9/12.483333</v>
      </c>
      <c r="AC79" s="13" t="s">
        <v>1473</v>
      </c>
      <c r="AD79" s="25">
        <v>46054</v>
      </c>
      <c r="AE79" s="14" t="s">
        <v>70</v>
      </c>
      <c r="AF79" s="14" t="s">
        <v>71</v>
      </c>
      <c r="AG79" s="14" t="s">
        <v>72</v>
      </c>
      <c r="AH79" s="12" t="str">
        <f t="shared" si="17"/>
        <v>Europa | Italy | Lazio | Rome</v>
      </c>
      <c r="AI79" s="12" t="s">
        <v>73</v>
      </c>
      <c r="AJ79" s="12"/>
      <c r="AK79" s="12" t="s">
        <v>74</v>
      </c>
      <c r="AL79" s="12" t="str">
        <f t="shared" si="21"/>
        <v>ITA</v>
      </c>
      <c r="AM79" s="12" t="s">
        <v>75</v>
      </c>
      <c r="AN79" s="12" t="s">
        <v>153</v>
      </c>
      <c r="AO79" s="12" t="s">
        <v>57</v>
      </c>
      <c r="AP79" s="12" t="s">
        <v>77</v>
      </c>
      <c r="AQ79" s="12" t="s">
        <v>78</v>
      </c>
      <c r="AR79" s="12" t="s">
        <v>79</v>
      </c>
      <c r="AS79" s="12" t="s">
        <v>1249</v>
      </c>
      <c r="AT79" s="12"/>
      <c r="AU79" s="12" t="s">
        <v>344</v>
      </c>
      <c r="AV79" s="12">
        <v>1</v>
      </c>
      <c r="AW79" s="12">
        <v>1</v>
      </c>
      <c r="AX79" s="12" t="s">
        <v>81</v>
      </c>
      <c r="AY79" s="12" t="s">
        <v>82</v>
      </c>
      <c r="AZ79" s="12" t="s">
        <v>83</v>
      </c>
      <c r="BA79" s="12" t="s">
        <v>84</v>
      </c>
      <c r="BB79" s="12"/>
      <c r="BC79" s="27" t="s">
        <v>1643</v>
      </c>
      <c r="BD79" s="27" t="s">
        <v>1644</v>
      </c>
      <c r="BE79" s="12"/>
    </row>
    <row r="80" spans="1:57" x14ac:dyDescent="0.25">
      <c r="A80" s="12" t="s">
        <v>344</v>
      </c>
      <c r="B80" s="12" t="s">
        <v>57</v>
      </c>
      <c r="C80" s="12">
        <v>1875</v>
      </c>
      <c r="D80" s="12"/>
      <c r="E80" s="23"/>
      <c r="F80" s="12">
        <f t="shared" si="26"/>
        <v>1875</v>
      </c>
      <c r="G80" s="12"/>
      <c r="H80" s="12"/>
      <c r="I80" s="24">
        <f t="shared" si="19"/>
        <v>1875</v>
      </c>
      <c r="J80" s="12" t="s">
        <v>58</v>
      </c>
      <c r="K80" s="12" t="str">
        <f t="shared" si="15"/>
        <v>Anas platyrhynchos (Linnaeus, 1758)</v>
      </c>
      <c r="L80" s="12" t="str">
        <f t="shared" si="16"/>
        <v>Animalia|Chordata|Aves|Anseriformes|Anatidae|Anas</v>
      </c>
      <c r="M80" s="12" t="s">
        <v>59</v>
      </c>
      <c r="N80" s="12" t="s">
        <v>60</v>
      </c>
      <c r="O80" s="12" t="s">
        <v>61</v>
      </c>
      <c r="P80" s="12" t="s">
        <v>259</v>
      </c>
      <c r="Q80" s="12" t="s">
        <v>260</v>
      </c>
      <c r="R80" s="12" t="s">
        <v>907</v>
      </c>
      <c r="S80" s="12" t="s">
        <v>279</v>
      </c>
      <c r="T80" s="12" t="s">
        <v>66</v>
      </c>
      <c r="U80" s="12" t="s">
        <v>280</v>
      </c>
      <c r="V80" s="12"/>
      <c r="W80" s="12" t="s">
        <v>68</v>
      </c>
      <c r="X80" s="12">
        <v>41.9</v>
      </c>
      <c r="Y80" s="12">
        <v>12.483333</v>
      </c>
      <c r="Z80" s="14" t="s">
        <v>69</v>
      </c>
      <c r="AA80" s="12">
        <v>36625</v>
      </c>
      <c r="AB80" s="12" t="str">
        <f t="shared" si="20"/>
        <v>41.9/12.483333</v>
      </c>
      <c r="AC80" s="13" t="s">
        <v>1473</v>
      </c>
      <c r="AD80" s="25">
        <v>46054</v>
      </c>
      <c r="AE80" s="14" t="s">
        <v>70</v>
      </c>
      <c r="AF80" s="14" t="s">
        <v>71</v>
      </c>
      <c r="AG80" s="14" t="s">
        <v>72</v>
      </c>
      <c r="AH80" s="12" t="str">
        <f t="shared" si="17"/>
        <v>Europa | Italy | Lazio | Rome</v>
      </c>
      <c r="AI80" s="12" t="s">
        <v>73</v>
      </c>
      <c r="AJ80" s="12"/>
      <c r="AK80" s="12" t="s">
        <v>74</v>
      </c>
      <c r="AL80" s="12" t="str">
        <f t="shared" si="21"/>
        <v>ITA</v>
      </c>
      <c r="AM80" s="12" t="s">
        <v>75</v>
      </c>
      <c r="AN80" s="12" t="s">
        <v>153</v>
      </c>
      <c r="AO80" s="12" t="s">
        <v>57</v>
      </c>
      <c r="AP80" s="12" t="s">
        <v>77</v>
      </c>
      <c r="AQ80" s="12" t="s">
        <v>78</v>
      </c>
      <c r="AR80" s="12" t="s">
        <v>79</v>
      </c>
      <c r="AS80" s="12" t="s">
        <v>1250</v>
      </c>
      <c r="AT80" s="12"/>
      <c r="AU80" s="12" t="s">
        <v>345</v>
      </c>
      <c r="AV80" s="12">
        <v>2</v>
      </c>
      <c r="AW80" s="12">
        <v>2</v>
      </c>
      <c r="AX80" s="12" t="s">
        <v>81</v>
      </c>
      <c r="AY80" s="12" t="s">
        <v>82</v>
      </c>
      <c r="AZ80" s="12" t="s">
        <v>83</v>
      </c>
      <c r="BA80" s="12" t="s">
        <v>84</v>
      </c>
      <c r="BB80" s="12"/>
      <c r="BC80" s="27" t="s">
        <v>1645</v>
      </c>
      <c r="BD80" s="27" t="s">
        <v>1646</v>
      </c>
      <c r="BE80" s="12"/>
    </row>
    <row r="81" spans="1:57" x14ac:dyDescent="0.25">
      <c r="A81" s="12" t="s">
        <v>345</v>
      </c>
      <c r="B81" s="12" t="s">
        <v>57</v>
      </c>
      <c r="C81" s="12">
        <v>1875</v>
      </c>
      <c r="D81" s="12"/>
      <c r="E81" s="23"/>
      <c r="F81" s="12">
        <f t="shared" si="18"/>
        <v>1875</v>
      </c>
      <c r="G81" s="12"/>
      <c r="H81" s="12"/>
      <c r="I81" s="24">
        <f t="shared" si="19"/>
        <v>1875</v>
      </c>
      <c r="J81" s="12" t="s">
        <v>58</v>
      </c>
      <c r="K81" s="12" t="str">
        <f t="shared" si="15"/>
        <v>Anas platyrhynchos (Linnaeus, 1758)</v>
      </c>
      <c r="L81" s="12" t="str">
        <f t="shared" si="16"/>
        <v>Animalia|Chordata|Aves|Anseriformes|Anatidae|Anas</v>
      </c>
      <c r="M81" s="12" t="s">
        <v>59</v>
      </c>
      <c r="N81" s="12" t="s">
        <v>60</v>
      </c>
      <c r="O81" s="12" t="s">
        <v>61</v>
      </c>
      <c r="P81" s="12" t="s">
        <v>259</v>
      </c>
      <c r="Q81" s="12" t="s">
        <v>260</v>
      </c>
      <c r="R81" s="12" t="s">
        <v>907</v>
      </c>
      <c r="S81" s="12" t="s">
        <v>279</v>
      </c>
      <c r="T81" s="12" t="s">
        <v>66</v>
      </c>
      <c r="U81" s="12" t="s">
        <v>280</v>
      </c>
      <c r="V81" s="12"/>
      <c r="W81" s="12" t="s">
        <v>68</v>
      </c>
      <c r="X81" s="12">
        <v>41.9</v>
      </c>
      <c r="Y81" s="12">
        <v>12.483333</v>
      </c>
      <c r="Z81" s="14" t="s">
        <v>69</v>
      </c>
      <c r="AA81" s="12">
        <v>36625</v>
      </c>
      <c r="AB81" s="12" t="str">
        <f t="shared" si="20"/>
        <v>41.9/12.483333</v>
      </c>
      <c r="AC81" s="13" t="s">
        <v>1473</v>
      </c>
      <c r="AD81" s="25">
        <v>46054</v>
      </c>
      <c r="AE81" s="14" t="s">
        <v>70</v>
      </c>
      <c r="AF81" s="14" t="s">
        <v>71</v>
      </c>
      <c r="AG81" s="14" t="s">
        <v>72</v>
      </c>
      <c r="AH81" s="12" t="str">
        <f t="shared" si="17"/>
        <v>Europa | Italy | Lazio | Rome</v>
      </c>
      <c r="AI81" s="12" t="s">
        <v>73</v>
      </c>
      <c r="AJ81" s="12"/>
      <c r="AK81" s="12" t="s">
        <v>74</v>
      </c>
      <c r="AL81" s="12" t="str">
        <f t="shared" si="21"/>
        <v>ITA</v>
      </c>
      <c r="AM81" s="12" t="s">
        <v>75</v>
      </c>
      <c r="AN81" s="12" t="s">
        <v>153</v>
      </c>
      <c r="AO81" s="12" t="s">
        <v>57</v>
      </c>
      <c r="AP81" s="12" t="s">
        <v>77</v>
      </c>
      <c r="AQ81" s="12" t="s">
        <v>78</v>
      </c>
      <c r="AR81" s="12" t="s">
        <v>79</v>
      </c>
      <c r="AS81" s="12" t="s">
        <v>1251</v>
      </c>
      <c r="AT81" s="12" t="s">
        <v>80</v>
      </c>
      <c r="AU81" s="12" t="s">
        <v>346</v>
      </c>
      <c r="AV81" s="12">
        <v>1</v>
      </c>
      <c r="AW81" s="12">
        <v>1</v>
      </c>
      <c r="AX81" s="12" t="s">
        <v>81</v>
      </c>
      <c r="AY81" s="12" t="s">
        <v>82</v>
      </c>
      <c r="AZ81" s="12" t="s">
        <v>83</v>
      </c>
      <c r="BA81" s="12" t="s">
        <v>84</v>
      </c>
      <c r="BB81" s="12"/>
      <c r="BC81" s="27" t="s">
        <v>1647</v>
      </c>
      <c r="BD81" s="27" t="s">
        <v>1648</v>
      </c>
      <c r="BE81" s="12"/>
    </row>
    <row r="82" spans="1:57" x14ac:dyDescent="0.25">
      <c r="A82" s="12" t="s">
        <v>346</v>
      </c>
      <c r="B82" s="12" t="s">
        <v>57</v>
      </c>
      <c r="C82" s="25">
        <v>17602</v>
      </c>
      <c r="D82" s="12">
        <f t="shared" si="24"/>
        <v>70</v>
      </c>
      <c r="E82" s="23">
        <f t="shared" si="25"/>
        <v>70</v>
      </c>
      <c r="F82" s="12">
        <f t="shared" si="18"/>
        <v>1948</v>
      </c>
      <c r="G82" s="12">
        <f t="shared" si="13"/>
        <v>3</v>
      </c>
      <c r="H82" s="12">
        <f t="shared" si="14"/>
        <v>10</v>
      </c>
      <c r="I82" s="24">
        <f t="shared" si="19"/>
        <v>17602</v>
      </c>
      <c r="J82" s="12" t="s">
        <v>58</v>
      </c>
      <c r="K82" s="12" t="str">
        <f t="shared" si="15"/>
        <v>Nycticorax nycticorax (Linnaeus, 1758)</v>
      </c>
      <c r="L82" s="12" t="str">
        <f t="shared" si="16"/>
        <v>Animalia|Chordata|Aves|Pelecaniformes|Ardeidae|Nycticorax</v>
      </c>
      <c r="M82" s="12" t="s">
        <v>59</v>
      </c>
      <c r="N82" s="12" t="s">
        <v>60</v>
      </c>
      <c r="O82" s="12" t="s">
        <v>61</v>
      </c>
      <c r="P82" s="12" t="s">
        <v>231</v>
      </c>
      <c r="Q82" s="12" t="s">
        <v>232</v>
      </c>
      <c r="R82" s="12" t="s">
        <v>899</v>
      </c>
      <c r="S82" s="12" t="s">
        <v>233</v>
      </c>
      <c r="T82" s="12" t="s">
        <v>66</v>
      </c>
      <c r="U82" s="12" t="s">
        <v>234</v>
      </c>
      <c r="V82" s="12" t="s">
        <v>1168</v>
      </c>
      <c r="W82" s="12" t="s">
        <v>68</v>
      </c>
      <c r="X82" s="12">
        <v>41.9</v>
      </c>
      <c r="Y82" s="12">
        <v>12.483333</v>
      </c>
      <c r="Z82" s="14" t="s">
        <v>69</v>
      </c>
      <c r="AA82" s="12">
        <v>36625</v>
      </c>
      <c r="AB82" s="12" t="str">
        <f t="shared" si="20"/>
        <v>41.9/12.483333</v>
      </c>
      <c r="AC82" s="13" t="s">
        <v>1473</v>
      </c>
      <c r="AD82" s="25">
        <v>46054</v>
      </c>
      <c r="AE82" s="14" t="s">
        <v>70</v>
      </c>
      <c r="AF82" s="14" t="s">
        <v>71</v>
      </c>
      <c r="AG82" s="14" t="s">
        <v>72</v>
      </c>
      <c r="AH82" s="12" t="str">
        <f t="shared" si="17"/>
        <v>Europa | Italy | Veneto | Padua</v>
      </c>
      <c r="AI82" s="12" t="s">
        <v>73</v>
      </c>
      <c r="AJ82" s="12"/>
      <c r="AK82" s="12" t="s">
        <v>74</v>
      </c>
      <c r="AL82" s="12" t="str">
        <f t="shared" si="21"/>
        <v>ITA</v>
      </c>
      <c r="AM82" s="12" t="s">
        <v>150</v>
      </c>
      <c r="AN82" s="12" t="s">
        <v>151</v>
      </c>
      <c r="AO82" s="12" t="s">
        <v>57</v>
      </c>
      <c r="AP82" s="12" t="s">
        <v>77</v>
      </c>
      <c r="AQ82" s="12" t="s">
        <v>78</v>
      </c>
      <c r="AR82" s="12" t="s">
        <v>79</v>
      </c>
      <c r="AS82" s="12" t="s">
        <v>1252</v>
      </c>
      <c r="AT82" s="12" t="s">
        <v>80</v>
      </c>
      <c r="AU82" s="12" t="s">
        <v>347</v>
      </c>
      <c r="AV82" s="12">
        <v>1</v>
      </c>
      <c r="AW82" s="12">
        <v>1</v>
      </c>
      <c r="AX82" s="12" t="s">
        <v>81</v>
      </c>
      <c r="AY82" s="12" t="s">
        <v>82</v>
      </c>
      <c r="AZ82" s="12" t="s">
        <v>83</v>
      </c>
      <c r="BA82" s="12" t="s">
        <v>84</v>
      </c>
      <c r="BB82" s="12"/>
      <c r="BC82" s="27" t="s">
        <v>1649</v>
      </c>
      <c r="BD82" s="27" t="s">
        <v>1650</v>
      </c>
      <c r="BE82" s="12"/>
    </row>
    <row r="83" spans="1:57" x14ac:dyDescent="0.25">
      <c r="A83" s="12" t="s">
        <v>347</v>
      </c>
      <c r="B83" s="12" t="s">
        <v>57</v>
      </c>
      <c r="C83" s="25">
        <v>21466</v>
      </c>
      <c r="D83" s="12">
        <f t="shared" si="24"/>
        <v>281</v>
      </c>
      <c r="E83" s="23">
        <f t="shared" si="25"/>
        <v>281</v>
      </c>
      <c r="F83" s="12">
        <f t="shared" si="18"/>
        <v>1958</v>
      </c>
      <c r="G83" s="12">
        <f t="shared" si="13"/>
        <v>10</v>
      </c>
      <c r="H83" s="12">
        <f t="shared" si="14"/>
        <v>8</v>
      </c>
      <c r="I83" s="24">
        <f t="shared" si="19"/>
        <v>21466</v>
      </c>
      <c r="J83" s="12" t="s">
        <v>124</v>
      </c>
      <c r="K83" s="12" t="str">
        <f t="shared" si="15"/>
        <v>Egretta garzetta (Linnaeus, 1766)</v>
      </c>
      <c r="L83" s="12" t="str">
        <f t="shared" si="16"/>
        <v>Animalia|Chordata|Aves|Pelecaniformes|Ardeidae|Egretta</v>
      </c>
      <c r="M83" s="12" t="s">
        <v>59</v>
      </c>
      <c r="N83" s="12" t="s">
        <v>60</v>
      </c>
      <c r="O83" s="12" t="s">
        <v>61</v>
      </c>
      <c r="P83" s="12" t="s">
        <v>231</v>
      </c>
      <c r="Q83" s="12" t="s">
        <v>232</v>
      </c>
      <c r="R83" s="12" t="s">
        <v>917</v>
      </c>
      <c r="S83" s="12" t="s">
        <v>349</v>
      </c>
      <c r="T83" s="12" t="s">
        <v>66</v>
      </c>
      <c r="U83" s="12" t="s">
        <v>350</v>
      </c>
      <c r="V83" s="12" t="s">
        <v>1165</v>
      </c>
      <c r="W83" s="12" t="s">
        <v>68</v>
      </c>
      <c r="X83" s="12">
        <v>45.416666999999997</v>
      </c>
      <c r="Y83" s="12">
        <v>11.883333</v>
      </c>
      <c r="Z83" s="14" t="s">
        <v>69</v>
      </c>
      <c r="AA83" s="12">
        <v>7350</v>
      </c>
      <c r="AB83" s="12" t="str">
        <f t="shared" si="20"/>
        <v>45.416667/11.883333</v>
      </c>
      <c r="AC83" s="13" t="s">
        <v>1473</v>
      </c>
      <c r="AD83" s="25">
        <v>46054</v>
      </c>
      <c r="AE83" s="14" t="s">
        <v>70</v>
      </c>
      <c r="AF83" s="14" t="s">
        <v>71</v>
      </c>
      <c r="AG83" s="14" t="s">
        <v>72</v>
      </c>
      <c r="AH83" s="12" t="str">
        <f t="shared" si="17"/>
        <v>Europa | Italy | Piedmont | Borgo San Dalmazzo</v>
      </c>
      <c r="AI83" s="12" t="s">
        <v>73</v>
      </c>
      <c r="AJ83" s="12"/>
      <c r="AK83" s="12" t="s">
        <v>74</v>
      </c>
      <c r="AL83" s="12" t="str">
        <f t="shared" si="21"/>
        <v>ITA</v>
      </c>
      <c r="AM83" s="12" t="s">
        <v>90</v>
      </c>
      <c r="AN83" s="12" t="s">
        <v>160</v>
      </c>
      <c r="AO83" s="12" t="s">
        <v>57</v>
      </c>
      <c r="AP83" s="12" t="s">
        <v>77</v>
      </c>
      <c r="AQ83" s="12" t="s">
        <v>78</v>
      </c>
      <c r="AR83" s="12" t="s">
        <v>79</v>
      </c>
      <c r="AS83" s="12" t="s">
        <v>1253</v>
      </c>
      <c r="AT83" s="12" t="s">
        <v>92</v>
      </c>
      <c r="AU83" s="12" t="s">
        <v>348</v>
      </c>
      <c r="AV83" s="12">
        <v>1</v>
      </c>
      <c r="AW83" s="12">
        <v>1</v>
      </c>
      <c r="AX83" s="12" t="s">
        <v>81</v>
      </c>
      <c r="AY83" s="12" t="s">
        <v>82</v>
      </c>
      <c r="AZ83" s="12" t="s">
        <v>83</v>
      </c>
      <c r="BA83" s="12" t="s">
        <v>84</v>
      </c>
      <c r="BB83" s="12"/>
      <c r="BC83" s="27" t="s">
        <v>1651</v>
      </c>
      <c r="BD83" s="27" t="s">
        <v>1652</v>
      </c>
      <c r="BE83" s="12"/>
    </row>
    <row r="84" spans="1:57" x14ac:dyDescent="0.25">
      <c r="A84" s="12" t="s">
        <v>348</v>
      </c>
      <c r="B84" s="12" t="s">
        <v>57</v>
      </c>
      <c r="C84" s="12" t="s">
        <v>1482</v>
      </c>
      <c r="D84" s="12" t="str">
        <f t="shared" si="24"/>
        <v/>
      </c>
      <c r="E84" s="23" t="str">
        <f t="shared" si="25"/>
        <v/>
      </c>
      <c r="F84" s="12">
        <v>1893</v>
      </c>
      <c r="G84" s="12" t="str">
        <f t="shared" si="13"/>
        <v/>
      </c>
      <c r="H84" s="12" t="str">
        <f t="shared" si="14"/>
        <v/>
      </c>
      <c r="I84" s="24" t="str">
        <f t="shared" si="19"/>
        <v>01/01/1893</v>
      </c>
      <c r="J84" s="12" t="s">
        <v>58</v>
      </c>
      <c r="K84" s="12" t="str">
        <f t="shared" si="15"/>
        <v>Ardea alba (Linnaeus, 1758)</v>
      </c>
      <c r="L84" s="12" t="str">
        <f t="shared" si="16"/>
        <v>Animalia|Chordata|Aves|Pelecaniformes|Ardeidae|Ardea</v>
      </c>
      <c r="M84" s="12" t="s">
        <v>59</v>
      </c>
      <c r="N84" s="12" t="s">
        <v>60</v>
      </c>
      <c r="O84" s="12" t="s">
        <v>61</v>
      </c>
      <c r="P84" s="12" t="s">
        <v>231</v>
      </c>
      <c r="Q84" s="12" t="s">
        <v>232</v>
      </c>
      <c r="R84" s="12" t="s">
        <v>900</v>
      </c>
      <c r="S84" s="12" t="s">
        <v>352</v>
      </c>
      <c r="T84" s="12" t="s">
        <v>66</v>
      </c>
      <c r="U84" s="12" t="s">
        <v>353</v>
      </c>
      <c r="V84" s="12"/>
      <c r="W84" s="12" t="s">
        <v>68</v>
      </c>
      <c r="X84" s="12">
        <v>41.963006999999998</v>
      </c>
      <c r="Y84" s="12">
        <v>12.045745</v>
      </c>
      <c r="Z84" s="14" t="s">
        <v>69</v>
      </c>
      <c r="AA84" s="12">
        <v>1929</v>
      </c>
      <c r="AB84" s="12" t="str">
        <f t="shared" si="20"/>
        <v>41.963007/12.045745</v>
      </c>
      <c r="AC84" s="13" t="s">
        <v>1473</v>
      </c>
      <c r="AD84" s="25">
        <v>46054</v>
      </c>
      <c r="AE84" s="14" t="s">
        <v>70</v>
      </c>
      <c r="AF84" s="14" t="s">
        <v>71</v>
      </c>
      <c r="AG84" s="14" t="s">
        <v>72</v>
      </c>
      <c r="AH84" s="12" t="str">
        <f t="shared" si="17"/>
        <v>Europa | Italy | Lazio | Campo di Mare</v>
      </c>
      <c r="AI84" s="12" t="s">
        <v>73</v>
      </c>
      <c r="AJ84" s="12"/>
      <c r="AK84" s="12" t="s">
        <v>74</v>
      </c>
      <c r="AL84" s="12" t="str">
        <f t="shared" si="21"/>
        <v>ITA</v>
      </c>
      <c r="AM84" s="12" t="s">
        <v>75</v>
      </c>
      <c r="AN84" s="12" t="s">
        <v>1483</v>
      </c>
      <c r="AO84" s="12" t="s">
        <v>57</v>
      </c>
      <c r="AP84" s="12" t="s">
        <v>77</v>
      </c>
      <c r="AQ84" s="12" t="s">
        <v>78</v>
      </c>
      <c r="AR84" s="12" t="s">
        <v>79</v>
      </c>
      <c r="AS84" s="12" t="s">
        <v>1254</v>
      </c>
      <c r="AT84" s="12"/>
      <c r="AU84" s="12" t="s">
        <v>351</v>
      </c>
      <c r="AV84" s="12">
        <v>1</v>
      </c>
      <c r="AW84" s="12">
        <v>1</v>
      </c>
      <c r="AX84" s="12" t="s">
        <v>81</v>
      </c>
      <c r="AY84" s="12" t="s">
        <v>82</v>
      </c>
      <c r="AZ84" s="12" t="s">
        <v>83</v>
      </c>
      <c r="BA84" s="12" t="s">
        <v>84</v>
      </c>
      <c r="BB84" s="12"/>
      <c r="BC84" s="27" t="s">
        <v>1653</v>
      </c>
      <c r="BD84" s="27" t="s">
        <v>1654</v>
      </c>
      <c r="BE84" s="12"/>
    </row>
    <row r="85" spans="1:57" x14ac:dyDescent="0.25">
      <c r="A85" s="12" t="s">
        <v>351</v>
      </c>
      <c r="B85" s="12" t="s">
        <v>57</v>
      </c>
      <c r="C85" s="25">
        <v>21641</v>
      </c>
      <c r="D85" s="12">
        <f t="shared" si="24"/>
        <v>91</v>
      </c>
      <c r="E85" s="23">
        <f t="shared" si="25"/>
        <v>91</v>
      </c>
      <c r="F85" s="12">
        <f t="shared" si="18"/>
        <v>1959</v>
      </c>
      <c r="G85" s="12">
        <f t="shared" si="13"/>
        <v>4</v>
      </c>
      <c r="H85" s="12">
        <f t="shared" si="14"/>
        <v>1</v>
      </c>
      <c r="I85" s="24">
        <f t="shared" si="19"/>
        <v>21641</v>
      </c>
      <c r="J85" s="12" t="s">
        <v>58</v>
      </c>
      <c r="K85" s="12" t="str">
        <f t="shared" si="15"/>
        <v>Botaurus stellaris (Linnaeus, 1758)</v>
      </c>
      <c r="L85" s="12" t="str">
        <f t="shared" si="16"/>
        <v>Animalia|Chordata|Aves|Ciconiiformes|Ardeidae|Botaurus</v>
      </c>
      <c r="M85" s="12" t="s">
        <v>59</v>
      </c>
      <c r="N85" s="12" t="s">
        <v>60</v>
      </c>
      <c r="O85" s="12" t="s">
        <v>61</v>
      </c>
      <c r="P85" s="12" t="s">
        <v>355</v>
      </c>
      <c r="Q85" s="12" t="s">
        <v>232</v>
      </c>
      <c r="R85" s="12" t="s">
        <v>918</v>
      </c>
      <c r="S85" s="12" t="s">
        <v>356</v>
      </c>
      <c r="T85" s="12" t="s">
        <v>66</v>
      </c>
      <c r="U85" s="12" t="s">
        <v>357</v>
      </c>
      <c r="V85" s="12" t="s">
        <v>1168</v>
      </c>
      <c r="W85" s="12" t="s">
        <v>68</v>
      </c>
      <c r="X85" s="12">
        <v>45.417127999999998</v>
      </c>
      <c r="Y85" s="12">
        <v>12.256216</v>
      </c>
      <c r="Z85" s="14" t="s">
        <v>69</v>
      </c>
      <c r="AA85" s="12">
        <v>1000</v>
      </c>
      <c r="AB85" s="12" t="str">
        <f t="shared" si="20"/>
        <v>45.417128/12.256216</v>
      </c>
      <c r="AC85" s="13" t="s">
        <v>1473</v>
      </c>
      <c r="AD85" s="25">
        <v>46054</v>
      </c>
      <c r="AE85" s="14" t="s">
        <v>70</v>
      </c>
      <c r="AF85" s="14" t="s">
        <v>71</v>
      </c>
      <c r="AG85" s="14" t="s">
        <v>72</v>
      </c>
      <c r="AH85" s="12" t="str">
        <f t="shared" si="17"/>
        <v>Europa | Italy | Veneto | Fusina</v>
      </c>
      <c r="AI85" s="12" t="s">
        <v>73</v>
      </c>
      <c r="AJ85" s="12"/>
      <c r="AK85" s="12" t="s">
        <v>74</v>
      </c>
      <c r="AL85" s="12" t="str">
        <f t="shared" si="21"/>
        <v>ITA</v>
      </c>
      <c r="AM85" s="12" t="s">
        <v>150</v>
      </c>
      <c r="AN85" s="12" t="s">
        <v>358</v>
      </c>
      <c r="AO85" s="12" t="s">
        <v>57</v>
      </c>
      <c r="AP85" s="12" t="s">
        <v>77</v>
      </c>
      <c r="AQ85" s="12" t="s">
        <v>78</v>
      </c>
      <c r="AR85" s="12" t="s">
        <v>79</v>
      </c>
      <c r="AS85" s="12" t="s">
        <v>1255</v>
      </c>
      <c r="AT85" s="12" t="s">
        <v>80</v>
      </c>
      <c r="AU85" s="12" t="s">
        <v>354</v>
      </c>
      <c r="AV85" s="12">
        <v>1</v>
      </c>
      <c r="AW85" s="12">
        <v>1</v>
      </c>
      <c r="AX85" s="12" t="s">
        <v>81</v>
      </c>
      <c r="AY85" s="12" t="s">
        <v>82</v>
      </c>
      <c r="AZ85" s="12" t="s">
        <v>83</v>
      </c>
      <c r="BA85" s="12" t="s">
        <v>84</v>
      </c>
      <c r="BB85" s="12"/>
      <c r="BC85" s="27" t="s">
        <v>1655</v>
      </c>
      <c r="BD85" s="27" t="s">
        <v>1656</v>
      </c>
      <c r="BE85" s="12"/>
    </row>
    <row r="86" spans="1:57" x14ac:dyDescent="0.25">
      <c r="A86" s="12" t="s">
        <v>354</v>
      </c>
      <c r="B86" s="12" t="s">
        <v>57</v>
      </c>
      <c r="C86" s="25">
        <v>21799</v>
      </c>
      <c r="D86" s="12">
        <f t="shared" si="24"/>
        <v>249</v>
      </c>
      <c r="E86" s="23">
        <f t="shared" si="25"/>
        <v>249</v>
      </c>
      <c r="F86" s="12">
        <f t="shared" si="18"/>
        <v>1959</v>
      </c>
      <c r="G86" s="12">
        <f t="shared" si="13"/>
        <v>9</v>
      </c>
      <c r="H86" s="12">
        <f t="shared" si="14"/>
        <v>6</v>
      </c>
      <c r="I86" s="24">
        <f t="shared" si="19"/>
        <v>21799</v>
      </c>
      <c r="J86" s="12" t="s">
        <v>58</v>
      </c>
      <c r="K86" s="12" t="str">
        <f t="shared" si="15"/>
        <v>Nycticorax nycticorax (Linnaeus, 1758)</v>
      </c>
      <c r="L86" s="12" t="str">
        <f t="shared" si="16"/>
        <v>Animalia|Chordata|Aves|Pelecaniformes|Ardeidae|Nycticorax</v>
      </c>
      <c r="M86" s="12" t="s">
        <v>59</v>
      </c>
      <c r="N86" s="12" t="s">
        <v>60</v>
      </c>
      <c r="O86" s="12" t="s">
        <v>61</v>
      </c>
      <c r="P86" s="12" t="s">
        <v>231</v>
      </c>
      <c r="Q86" s="12" t="s">
        <v>232</v>
      </c>
      <c r="R86" s="12" t="s">
        <v>899</v>
      </c>
      <c r="S86" s="12" t="s">
        <v>233</v>
      </c>
      <c r="T86" s="12" t="s">
        <v>66</v>
      </c>
      <c r="U86" s="12" t="s">
        <v>234</v>
      </c>
      <c r="V86" s="12" t="s">
        <v>1165</v>
      </c>
      <c r="W86" s="12" t="s">
        <v>68</v>
      </c>
      <c r="X86" s="12">
        <v>45.420555999999998</v>
      </c>
      <c r="Y86" s="12">
        <v>12.248889</v>
      </c>
      <c r="Z86" s="14" t="s">
        <v>69</v>
      </c>
      <c r="AA86" s="12">
        <v>2137</v>
      </c>
      <c r="AB86" s="12" t="str">
        <f t="shared" si="20"/>
        <v>45.420556/12.248889</v>
      </c>
      <c r="AC86" s="13" t="s">
        <v>1473</v>
      </c>
      <c r="AD86" s="25">
        <v>46054</v>
      </c>
      <c r="AE86" s="14" t="s">
        <v>70</v>
      </c>
      <c r="AF86" s="14" t="s">
        <v>71</v>
      </c>
      <c r="AG86" s="14" t="s">
        <v>72</v>
      </c>
      <c r="AH86" s="12" t="str">
        <f t="shared" si="17"/>
        <v>Europa | Italy | Piedmont | Roccasparvera</v>
      </c>
      <c r="AI86" s="12" t="s">
        <v>73</v>
      </c>
      <c r="AJ86" s="12"/>
      <c r="AK86" s="12" t="s">
        <v>74</v>
      </c>
      <c r="AL86" s="12" t="str">
        <f t="shared" si="21"/>
        <v>ITA</v>
      </c>
      <c r="AM86" s="12" t="s">
        <v>90</v>
      </c>
      <c r="AN86" s="12" t="s">
        <v>360</v>
      </c>
      <c r="AO86" s="12" t="s">
        <v>57</v>
      </c>
      <c r="AP86" s="12" t="s">
        <v>77</v>
      </c>
      <c r="AQ86" s="12" t="s">
        <v>78</v>
      </c>
      <c r="AR86" s="12" t="s">
        <v>79</v>
      </c>
      <c r="AS86" s="12" t="s">
        <v>1256</v>
      </c>
      <c r="AT86" s="12" t="s">
        <v>92</v>
      </c>
      <c r="AU86" s="12" t="s">
        <v>359</v>
      </c>
      <c r="AV86" s="12">
        <v>1</v>
      </c>
      <c r="AW86" s="12">
        <v>1</v>
      </c>
      <c r="AX86" s="12" t="s">
        <v>81</v>
      </c>
      <c r="AY86" s="12" t="s">
        <v>82</v>
      </c>
      <c r="AZ86" s="12" t="s">
        <v>83</v>
      </c>
      <c r="BA86" s="12" t="s">
        <v>84</v>
      </c>
      <c r="BB86" s="12"/>
      <c r="BC86" s="27" t="s">
        <v>1657</v>
      </c>
      <c r="BD86" s="27" t="s">
        <v>1658</v>
      </c>
      <c r="BE86" s="12"/>
    </row>
    <row r="87" spans="1:57" x14ac:dyDescent="0.25">
      <c r="A87" s="12" t="s">
        <v>359</v>
      </c>
      <c r="B87" s="12" t="s">
        <v>57</v>
      </c>
      <c r="C87" s="12">
        <v>1890</v>
      </c>
      <c r="D87" s="12"/>
      <c r="E87" s="23"/>
      <c r="F87" s="12">
        <f t="shared" si="18"/>
        <v>1890</v>
      </c>
      <c r="G87" s="12"/>
      <c r="H87" s="12"/>
      <c r="I87" s="24">
        <f t="shared" si="19"/>
        <v>1890</v>
      </c>
      <c r="J87" s="12" t="s">
        <v>328</v>
      </c>
      <c r="K87" s="12" t="str">
        <f t="shared" si="15"/>
        <v>Gavia stellata (Pontoppidan, 1763)</v>
      </c>
      <c r="L87" s="12" t="str">
        <f t="shared" si="16"/>
        <v>Animalia|Chordata|Aves|Gaviiformes|Gaviidae|Gavia</v>
      </c>
      <c r="M87" s="12" t="s">
        <v>59</v>
      </c>
      <c r="N87" s="12" t="s">
        <v>60</v>
      </c>
      <c r="O87" s="12" t="s">
        <v>61</v>
      </c>
      <c r="P87" s="12" t="s">
        <v>329</v>
      </c>
      <c r="Q87" s="12" t="s">
        <v>330</v>
      </c>
      <c r="R87" s="12" t="s">
        <v>916</v>
      </c>
      <c r="S87" s="12" t="s">
        <v>331</v>
      </c>
      <c r="T87" s="12" t="s">
        <v>66</v>
      </c>
      <c r="U87" s="12" t="s">
        <v>332</v>
      </c>
      <c r="V87" s="12"/>
      <c r="W87" s="12" t="s">
        <v>68</v>
      </c>
      <c r="X87" s="12">
        <v>44.341424000000004</v>
      </c>
      <c r="Y87" s="12">
        <v>7.4401599999999997</v>
      </c>
      <c r="Z87" s="14" t="s">
        <v>69</v>
      </c>
      <c r="AA87" s="12">
        <v>896</v>
      </c>
      <c r="AB87" s="12" t="str">
        <f t="shared" si="20"/>
        <v>44.341424/7.44016</v>
      </c>
      <c r="AC87" s="13" t="s">
        <v>1473</v>
      </c>
      <c r="AD87" s="25">
        <v>46054</v>
      </c>
      <c r="AE87" s="14" t="s">
        <v>70</v>
      </c>
      <c r="AF87" s="14" t="s">
        <v>71</v>
      </c>
      <c r="AG87" s="14" t="s">
        <v>72</v>
      </c>
      <c r="AH87" s="12" t="str">
        <f t="shared" si="17"/>
        <v>Europa | Italy | Lazio | Ostia</v>
      </c>
      <c r="AI87" s="12" t="s">
        <v>73</v>
      </c>
      <c r="AJ87" s="12"/>
      <c r="AK87" s="12" t="s">
        <v>74</v>
      </c>
      <c r="AL87" s="12" t="str">
        <f t="shared" si="21"/>
        <v>ITA</v>
      </c>
      <c r="AM87" s="12" t="s">
        <v>75</v>
      </c>
      <c r="AN87" s="12" t="s">
        <v>252</v>
      </c>
      <c r="AO87" s="12" t="s">
        <v>57</v>
      </c>
      <c r="AP87" s="12" t="s">
        <v>77</v>
      </c>
      <c r="AQ87" s="12" t="s">
        <v>78</v>
      </c>
      <c r="AR87" s="12" t="s">
        <v>79</v>
      </c>
      <c r="AS87" s="12" t="s">
        <v>1257</v>
      </c>
      <c r="AT87" s="12"/>
      <c r="AU87" s="12" t="s">
        <v>361</v>
      </c>
      <c r="AV87" s="12">
        <v>1</v>
      </c>
      <c r="AW87" s="12">
        <v>1</v>
      </c>
      <c r="AX87" s="12" t="s">
        <v>81</v>
      </c>
      <c r="AY87" s="12" t="s">
        <v>82</v>
      </c>
      <c r="AZ87" s="12" t="s">
        <v>83</v>
      </c>
      <c r="BA87" s="12" t="s">
        <v>84</v>
      </c>
      <c r="BB87" s="12"/>
      <c r="BC87" s="27" t="s">
        <v>1659</v>
      </c>
      <c r="BD87" s="27" t="s">
        <v>1660</v>
      </c>
      <c r="BE87" s="12"/>
    </row>
    <row r="88" spans="1:57" x14ac:dyDescent="0.25">
      <c r="A88" s="12" t="s">
        <v>361</v>
      </c>
      <c r="B88" s="12" t="s">
        <v>57</v>
      </c>
      <c r="C88" s="12">
        <v>1901</v>
      </c>
      <c r="D88" s="12"/>
      <c r="E88" s="23"/>
      <c r="F88" s="12">
        <f t="shared" si="18"/>
        <v>1901</v>
      </c>
      <c r="G88" s="12"/>
      <c r="H88" s="12"/>
      <c r="I88" s="24">
        <f t="shared" si="19"/>
        <v>1901</v>
      </c>
      <c r="J88" s="12" t="s">
        <v>86</v>
      </c>
      <c r="K88" s="12" t="str">
        <f t="shared" si="15"/>
        <v>Plegadis falcinellus (Linnaeus, 1766)</v>
      </c>
      <c r="L88" s="12" t="str">
        <f t="shared" si="16"/>
        <v>Animalia|Chordata|Aves|Pelecaniformes|Threskiornithidae|Plegadis</v>
      </c>
      <c r="M88" s="12" t="s">
        <v>59</v>
      </c>
      <c r="N88" s="12" t="s">
        <v>60</v>
      </c>
      <c r="O88" s="12" t="s">
        <v>61</v>
      </c>
      <c r="P88" s="12" t="s">
        <v>231</v>
      </c>
      <c r="Q88" s="12" t="s">
        <v>363</v>
      </c>
      <c r="R88" s="12" t="s">
        <v>919</v>
      </c>
      <c r="S88" s="12" t="s">
        <v>364</v>
      </c>
      <c r="T88" s="12" t="s">
        <v>66</v>
      </c>
      <c r="U88" s="12" t="s">
        <v>365</v>
      </c>
      <c r="V88" s="12"/>
      <c r="W88" s="12" t="s">
        <v>68</v>
      </c>
      <c r="X88" s="12">
        <v>41.754738000000003</v>
      </c>
      <c r="Y88" s="12">
        <v>12.298970000000001</v>
      </c>
      <c r="Z88" s="14" t="s">
        <v>69</v>
      </c>
      <c r="AA88" s="12">
        <v>3959</v>
      </c>
      <c r="AB88" s="12" t="str">
        <f t="shared" si="20"/>
        <v>41.754738/12.29897</v>
      </c>
      <c r="AC88" s="13" t="s">
        <v>1473</v>
      </c>
      <c r="AD88" s="25">
        <v>46054</v>
      </c>
      <c r="AE88" s="14" t="s">
        <v>70</v>
      </c>
      <c r="AF88" s="14" t="s">
        <v>71</v>
      </c>
      <c r="AG88" s="14" t="s">
        <v>72</v>
      </c>
      <c r="AH88" s="12" t="str">
        <f t="shared" si="17"/>
        <v>Europa | Italy | Lazio | Tivoli</v>
      </c>
      <c r="AI88" s="12" t="s">
        <v>73</v>
      </c>
      <c r="AJ88" s="12"/>
      <c r="AK88" s="12" t="s">
        <v>74</v>
      </c>
      <c r="AL88" s="12" t="str">
        <f t="shared" si="21"/>
        <v>ITA</v>
      </c>
      <c r="AM88" s="12" t="s">
        <v>75</v>
      </c>
      <c r="AN88" s="12" t="s">
        <v>366</v>
      </c>
      <c r="AO88" s="12" t="s">
        <v>57</v>
      </c>
      <c r="AP88" s="12" t="s">
        <v>77</v>
      </c>
      <c r="AQ88" s="12" t="s">
        <v>78</v>
      </c>
      <c r="AR88" s="12" t="s">
        <v>79</v>
      </c>
      <c r="AS88" s="12" t="s">
        <v>1258</v>
      </c>
      <c r="AT88" s="12"/>
      <c r="AU88" s="12" t="s">
        <v>362</v>
      </c>
      <c r="AV88" s="12">
        <v>1</v>
      </c>
      <c r="AW88" s="12">
        <v>1</v>
      </c>
      <c r="AX88" s="12" t="s">
        <v>81</v>
      </c>
      <c r="AY88" s="12" t="s">
        <v>82</v>
      </c>
      <c r="AZ88" s="12" t="s">
        <v>83</v>
      </c>
      <c r="BA88" s="12" t="s">
        <v>84</v>
      </c>
      <c r="BB88" s="12"/>
      <c r="BC88" s="27" t="s">
        <v>1661</v>
      </c>
      <c r="BD88" s="27" t="s">
        <v>1662</v>
      </c>
      <c r="BE88" s="12"/>
    </row>
    <row r="89" spans="1:57" x14ac:dyDescent="0.25">
      <c r="A89" s="12" t="s">
        <v>362</v>
      </c>
      <c r="B89" s="12" t="s">
        <v>57</v>
      </c>
      <c r="C89" s="12">
        <v>1896</v>
      </c>
      <c r="D89" s="12"/>
      <c r="E89" s="23"/>
      <c r="F89" s="12">
        <f t="shared" si="18"/>
        <v>1896</v>
      </c>
      <c r="G89" s="12"/>
      <c r="H89" s="12"/>
      <c r="I89" s="24">
        <f t="shared" si="19"/>
        <v>1896</v>
      </c>
      <c r="J89" s="12" t="s">
        <v>58</v>
      </c>
      <c r="K89" s="12" t="str">
        <f t="shared" si="15"/>
        <v>Phalacrocorax carbo (Linnaeus, 1758)</v>
      </c>
      <c r="L89" s="12" t="str">
        <f t="shared" si="16"/>
        <v>Animalia|Chordata|Aves|Suliformes|Phalacrocoracidae|Phalacrocorax</v>
      </c>
      <c r="M89" s="12" t="s">
        <v>59</v>
      </c>
      <c r="N89" s="12" t="s">
        <v>60</v>
      </c>
      <c r="O89" s="12" t="s">
        <v>61</v>
      </c>
      <c r="P89" s="12" t="s">
        <v>368</v>
      </c>
      <c r="Q89" s="12" t="s">
        <v>369</v>
      </c>
      <c r="R89" s="12" t="s">
        <v>920</v>
      </c>
      <c r="S89" s="12" t="s">
        <v>370</v>
      </c>
      <c r="T89" s="12" t="s">
        <v>66</v>
      </c>
      <c r="U89" s="12" t="s">
        <v>371</v>
      </c>
      <c r="V89" s="12"/>
      <c r="W89" s="12" t="s">
        <v>68</v>
      </c>
      <c r="X89" s="12">
        <v>41.9</v>
      </c>
      <c r="Y89" s="12">
        <v>12.483333</v>
      </c>
      <c r="Z89" s="14" t="s">
        <v>69</v>
      </c>
      <c r="AA89" s="12">
        <v>2298</v>
      </c>
      <c r="AB89" s="12" t="str">
        <f t="shared" si="20"/>
        <v>41.9/12.483333</v>
      </c>
      <c r="AC89" s="13" t="s">
        <v>1473</v>
      </c>
      <c r="AD89" s="25">
        <v>46054</v>
      </c>
      <c r="AE89" s="14" t="s">
        <v>70</v>
      </c>
      <c r="AF89" s="14" t="s">
        <v>71</v>
      </c>
      <c r="AG89" s="14" t="s">
        <v>72</v>
      </c>
      <c r="AH89" s="12" t="str">
        <f t="shared" si="17"/>
        <v>Europa | Italy | Lazio | Rome</v>
      </c>
      <c r="AI89" s="12" t="s">
        <v>73</v>
      </c>
      <c r="AJ89" s="12"/>
      <c r="AK89" s="12" t="s">
        <v>74</v>
      </c>
      <c r="AL89" s="12" t="str">
        <f t="shared" si="21"/>
        <v>ITA</v>
      </c>
      <c r="AM89" s="12" t="s">
        <v>75</v>
      </c>
      <c r="AN89" s="12" t="s">
        <v>153</v>
      </c>
      <c r="AO89" s="12" t="s">
        <v>57</v>
      </c>
      <c r="AP89" s="12" t="s">
        <v>77</v>
      </c>
      <c r="AQ89" s="12" t="s">
        <v>78</v>
      </c>
      <c r="AR89" s="12" t="s">
        <v>79</v>
      </c>
      <c r="AS89" s="12" t="s">
        <v>1259</v>
      </c>
      <c r="AT89" s="12"/>
      <c r="AU89" s="12" t="s">
        <v>367</v>
      </c>
      <c r="AV89" s="12">
        <v>1</v>
      </c>
      <c r="AW89" s="12">
        <v>1</v>
      </c>
      <c r="AX89" s="12" t="s">
        <v>81</v>
      </c>
      <c r="AY89" s="12" t="s">
        <v>82</v>
      </c>
      <c r="AZ89" s="12" t="s">
        <v>83</v>
      </c>
      <c r="BA89" s="12" t="s">
        <v>84</v>
      </c>
      <c r="BB89" s="12"/>
      <c r="BC89" s="27" t="s">
        <v>1663</v>
      </c>
      <c r="BD89" s="27" t="s">
        <v>1664</v>
      </c>
      <c r="BE89" s="12"/>
    </row>
    <row r="90" spans="1:57" x14ac:dyDescent="0.25">
      <c r="A90" s="12" t="s">
        <v>367</v>
      </c>
      <c r="B90" s="12" t="s">
        <v>57</v>
      </c>
      <c r="C90" s="12">
        <v>1922</v>
      </c>
      <c r="D90" s="12"/>
      <c r="E90" s="23"/>
      <c r="F90" s="12">
        <f t="shared" si="18"/>
        <v>1922</v>
      </c>
      <c r="G90" s="12"/>
      <c r="H90" s="12"/>
      <c r="I90" s="24">
        <f t="shared" si="19"/>
        <v>1922</v>
      </c>
      <c r="J90" s="12" t="s">
        <v>58</v>
      </c>
      <c r="K90" s="12" t="str">
        <f t="shared" si="15"/>
        <v>Podiceps cristatus (Linnaeus, 1758)</v>
      </c>
      <c r="L90" s="12" t="str">
        <f t="shared" si="16"/>
        <v>Animalia|Chordata|Aves|Podicipediformes|Podicipedidae|Podiceps</v>
      </c>
      <c r="M90" s="12" t="s">
        <v>59</v>
      </c>
      <c r="N90" s="12" t="s">
        <v>60</v>
      </c>
      <c r="O90" s="12" t="s">
        <v>61</v>
      </c>
      <c r="P90" s="12" t="s">
        <v>226</v>
      </c>
      <c r="Q90" s="12" t="s">
        <v>227</v>
      </c>
      <c r="R90" s="12" t="s">
        <v>898</v>
      </c>
      <c r="S90" s="12" t="s">
        <v>228</v>
      </c>
      <c r="T90" s="12" t="s">
        <v>66</v>
      </c>
      <c r="U90" s="12" t="s">
        <v>229</v>
      </c>
      <c r="V90" s="12"/>
      <c r="W90" s="12" t="s">
        <v>68</v>
      </c>
      <c r="X90" s="12">
        <v>41.9</v>
      </c>
      <c r="Y90" s="12">
        <v>12.483333</v>
      </c>
      <c r="Z90" s="14" t="s">
        <v>69</v>
      </c>
      <c r="AA90" s="12">
        <v>36625</v>
      </c>
      <c r="AB90" s="12" t="str">
        <f t="shared" si="20"/>
        <v>41.9/12.483333</v>
      </c>
      <c r="AC90" s="13" t="s">
        <v>1473</v>
      </c>
      <c r="AD90" s="25">
        <v>46054</v>
      </c>
      <c r="AE90" s="14" t="s">
        <v>70</v>
      </c>
      <c r="AF90" s="14" t="s">
        <v>71</v>
      </c>
      <c r="AG90" s="14" t="s">
        <v>72</v>
      </c>
      <c r="AH90" s="12" t="str">
        <f t="shared" si="17"/>
        <v>Europa | Italy | Lazio | Rome</v>
      </c>
      <c r="AI90" s="12" t="s">
        <v>73</v>
      </c>
      <c r="AJ90" s="12"/>
      <c r="AK90" s="12" t="s">
        <v>74</v>
      </c>
      <c r="AL90" s="12" t="str">
        <f t="shared" si="21"/>
        <v>ITA</v>
      </c>
      <c r="AM90" s="12" t="s">
        <v>75</v>
      </c>
      <c r="AN90" s="12" t="s">
        <v>153</v>
      </c>
      <c r="AO90" s="12" t="s">
        <v>57</v>
      </c>
      <c r="AP90" s="12" t="s">
        <v>77</v>
      </c>
      <c r="AQ90" s="12" t="s">
        <v>78</v>
      </c>
      <c r="AR90" s="12" t="s">
        <v>79</v>
      </c>
      <c r="AS90" s="12" t="s">
        <v>1260</v>
      </c>
      <c r="AT90" s="12" t="s">
        <v>80</v>
      </c>
      <c r="AU90" s="12" t="s">
        <v>372</v>
      </c>
      <c r="AV90" s="12">
        <v>1</v>
      </c>
      <c r="AW90" s="12">
        <v>1</v>
      </c>
      <c r="AX90" s="12" t="s">
        <v>81</v>
      </c>
      <c r="AY90" s="12" t="s">
        <v>82</v>
      </c>
      <c r="AZ90" s="12" t="s">
        <v>83</v>
      </c>
      <c r="BA90" s="12" t="s">
        <v>84</v>
      </c>
      <c r="BB90" s="12"/>
      <c r="BC90" s="27" t="s">
        <v>1665</v>
      </c>
      <c r="BD90" s="27" t="s">
        <v>1666</v>
      </c>
      <c r="BE90" s="12"/>
    </row>
    <row r="91" spans="1:57" x14ac:dyDescent="0.25">
      <c r="A91" s="12" t="s">
        <v>372</v>
      </c>
      <c r="B91" s="12" t="s">
        <v>57</v>
      </c>
      <c r="C91" s="12">
        <v>1901</v>
      </c>
      <c r="D91" s="12"/>
      <c r="E91" s="23"/>
      <c r="F91" s="12">
        <f t="shared" si="18"/>
        <v>1901</v>
      </c>
      <c r="G91" s="12"/>
      <c r="H91" s="12"/>
      <c r="I91" s="24">
        <f t="shared" si="19"/>
        <v>1901</v>
      </c>
      <c r="J91" s="12" t="s">
        <v>86</v>
      </c>
      <c r="K91" s="12" t="str">
        <f t="shared" si="15"/>
        <v>Ardea purpurea (Linnaeus, 1766)</v>
      </c>
      <c r="L91" s="12" t="str">
        <f t="shared" si="16"/>
        <v>Animalia|Chordata|Aves|Pelecaniformes|Ardeidae|Ardea</v>
      </c>
      <c r="M91" s="12" t="s">
        <v>59</v>
      </c>
      <c r="N91" s="12" t="s">
        <v>60</v>
      </c>
      <c r="O91" s="12" t="s">
        <v>61</v>
      </c>
      <c r="P91" s="12" t="s">
        <v>231</v>
      </c>
      <c r="Q91" s="12" t="s">
        <v>232</v>
      </c>
      <c r="R91" s="12" t="s">
        <v>900</v>
      </c>
      <c r="S91" s="12" t="s">
        <v>236</v>
      </c>
      <c r="T91" s="12" t="s">
        <v>66</v>
      </c>
      <c r="U91" s="12" t="s">
        <v>237</v>
      </c>
      <c r="V91" s="12"/>
      <c r="W91" s="12" t="s">
        <v>68</v>
      </c>
      <c r="X91" s="12">
        <v>41.9</v>
      </c>
      <c r="Y91" s="12">
        <v>12.483333</v>
      </c>
      <c r="Z91" s="14" t="s">
        <v>69</v>
      </c>
      <c r="AA91" s="12">
        <v>36625</v>
      </c>
      <c r="AB91" s="12" t="str">
        <f t="shared" si="20"/>
        <v>41.9/12.483333</v>
      </c>
      <c r="AC91" s="13" t="s">
        <v>1473</v>
      </c>
      <c r="AD91" s="25">
        <v>46054</v>
      </c>
      <c r="AE91" s="14" t="s">
        <v>70</v>
      </c>
      <c r="AF91" s="14" t="s">
        <v>71</v>
      </c>
      <c r="AG91" s="14" t="s">
        <v>72</v>
      </c>
      <c r="AH91" s="12" t="str">
        <f t="shared" si="17"/>
        <v>Europa | Italy | Lazio | Maccarese</v>
      </c>
      <c r="AI91" s="12" t="s">
        <v>73</v>
      </c>
      <c r="AJ91" s="12"/>
      <c r="AK91" s="12" t="s">
        <v>74</v>
      </c>
      <c r="AL91" s="12" t="str">
        <f t="shared" si="21"/>
        <v>ITA</v>
      </c>
      <c r="AM91" s="12" t="s">
        <v>75</v>
      </c>
      <c r="AN91" s="12" t="s">
        <v>304</v>
      </c>
      <c r="AO91" s="12" t="s">
        <v>57</v>
      </c>
      <c r="AP91" s="12" t="s">
        <v>77</v>
      </c>
      <c r="AQ91" s="12" t="s">
        <v>78</v>
      </c>
      <c r="AR91" s="12" t="s">
        <v>79</v>
      </c>
      <c r="AS91" s="12" t="s">
        <v>1261</v>
      </c>
      <c r="AT91" s="12"/>
      <c r="AU91" s="12" t="s">
        <v>373</v>
      </c>
      <c r="AV91" s="12">
        <v>1</v>
      </c>
      <c r="AW91" s="12">
        <v>1</v>
      </c>
      <c r="AX91" s="12" t="s">
        <v>81</v>
      </c>
      <c r="AY91" s="12" t="s">
        <v>82</v>
      </c>
      <c r="AZ91" s="12" t="s">
        <v>83</v>
      </c>
      <c r="BA91" s="12" t="s">
        <v>84</v>
      </c>
      <c r="BB91" s="12"/>
      <c r="BC91" s="27" t="s">
        <v>1667</v>
      </c>
      <c r="BD91" s="27" t="s">
        <v>1668</v>
      </c>
      <c r="BE91" s="12"/>
    </row>
    <row r="92" spans="1:57" x14ac:dyDescent="0.25">
      <c r="A92" s="12" t="s">
        <v>373</v>
      </c>
      <c r="B92" s="12" t="s">
        <v>57</v>
      </c>
      <c r="C92" s="25">
        <v>22230</v>
      </c>
      <c r="D92" s="12">
        <f t="shared" si="24"/>
        <v>315</v>
      </c>
      <c r="E92" s="23">
        <f t="shared" si="25"/>
        <v>315</v>
      </c>
      <c r="F92" s="12">
        <f t="shared" si="18"/>
        <v>1960</v>
      </c>
      <c r="G92" s="12">
        <f t="shared" si="13"/>
        <v>11</v>
      </c>
      <c r="H92" s="12">
        <f t="shared" si="14"/>
        <v>10</v>
      </c>
      <c r="I92" s="24">
        <f t="shared" si="19"/>
        <v>22230</v>
      </c>
      <c r="J92" s="12" t="s">
        <v>240</v>
      </c>
      <c r="K92" s="12" t="str">
        <f t="shared" si="15"/>
        <v>Anser albifrons (Scopoli, 1769)</v>
      </c>
      <c r="L92" s="12" t="str">
        <f t="shared" si="16"/>
        <v>Animalia|Chordata|Aves|Anseriformes|Anatidae|Anser</v>
      </c>
      <c r="M92" s="12" t="s">
        <v>59</v>
      </c>
      <c r="N92" s="12" t="s">
        <v>60</v>
      </c>
      <c r="O92" s="12" t="s">
        <v>61</v>
      </c>
      <c r="P92" s="12" t="s">
        <v>259</v>
      </c>
      <c r="Q92" s="12" t="s">
        <v>260</v>
      </c>
      <c r="R92" s="12" t="s">
        <v>921</v>
      </c>
      <c r="S92" s="12" t="s">
        <v>375</v>
      </c>
      <c r="T92" s="12" t="s">
        <v>66</v>
      </c>
      <c r="U92" s="12" t="s">
        <v>376</v>
      </c>
      <c r="V92" s="12" t="s">
        <v>1168</v>
      </c>
      <c r="W92" s="12" t="s">
        <v>68</v>
      </c>
      <c r="X92" s="12">
        <v>41.883333</v>
      </c>
      <c r="Y92" s="12">
        <v>12.216666999999999</v>
      </c>
      <c r="Z92" s="14" t="s">
        <v>69</v>
      </c>
      <c r="AA92" s="12">
        <v>1427</v>
      </c>
      <c r="AB92" s="12" t="str">
        <f t="shared" si="20"/>
        <v>41.883333/12.216667</v>
      </c>
      <c r="AC92" s="13" t="s">
        <v>1473</v>
      </c>
      <c r="AD92" s="25">
        <v>46054</v>
      </c>
      <c r="AE92" s="14" t="s">
        <v>70</v>
      </c>
      <c r="AF92" s="14" t="s">
        <v>71</v>
      </c>
      <c r="AG92" s="14" t="s">
        <v>72</v>
      </c>
      <c r="AH92" s="12" t="str">
        <f t="shared" si="17"/>
        <v>Europa | Italy | Veneto | Valle Morosina</v>
      </c>
      <c r="AI92" s="12" t="s">
        <v>73</v>
      </c>
      <c r="AJ92" s="12"/>
      <c r="AK92" s="12" t="s">
        <v>74</v>
      </c>
      <c r="AL92" s="12" t="str">
        <f t="shared" si="21"/>
        <v>ITA</v>
      </c>
      <c r="AM92" s="12" t="s">
        <v>150</v>
      </c>
      <c r="AN92" s="12" t="s">
        <v>308</v>
      </c>
      <c r="AO92" s="12" t="s">
        <v>57</v>
      </c>
      <c r="AP92" s="12" t="s">
        <v>77</v>
      </c>
      <c r="AQ92" s="12" t="s">
        <v>78</v>
      </c>
      <c r="AR92" s="12" t="s">
        <v>79</v>
      </c>
      <c r="AS92" s="12" t="s">
        <v>1262</v>
      </c>
      <c r="AT92" s="12" t="s">
        <v>80</v>
      </c>
      <c r="AU92" s="12" t="s">
        <v>374</v>
      </c>
      <c r="AV92" s="12">
        <v>1</v>
      </c>
      <c r="AW92" s="12">
        <v>1</v>
      </c>
      <c r="AX92" s="12" t="s">
        <v>81</v>
      </c>
      <c r="AY92" s="12" t="s">
        <v>82</v>
      </c>
      <c r="AZ92" s="12" t="s">
        <v>83</v>
      </c>
      <c r="BA92" s="12" t="s">
        <v>84</v>
      </c>
      <c r="BB92" s="12"/>
      <c r="BC92" s="27" t="s">
        <v>1669</v>
      </c>
      <c r="BD92" s="27" t="s">
        <v>1670</v>
      </c>
      <c r="BE92" s="12"/>
    </row>
    <row r="93" spans="1:57" x14ac:dyDescent="0.25">
      <c r="A93" s="12" t="s">
        <v>374</v>
      </c>
      <c r="B93" s="12" t="s">
        <v>57</v>
      </c>
      <c r="C93" s="25">
        <v>22188</v>
      </c>
      <c r="D93" s="12">
        <f t="shared" si="24"/>
        <v>273</v>
      </c>
      <c r="E93" s="23">
        <f t="shared" si="25"/>
        <v>273</v>
      </c>
      <c r="F93" s="12">
        <f t="shared" si="18"/>
        <v>1960</v>
      </c>
      <c r="G93" s="12">
        <f t="shared" si="13"/>
        <v>9</v>
      </c>
      <c r="H93" s="12">
        <f t="shared" si="14"/>
        <v>29</v>
      </c>
      <c r="I93" s="24">
        <f t="shared" si="19"/>
        <v>22188</v>
      </c>
      <c r="J93" s="12" t="s">
        <v>86</v>
      </c>
      <c r="K93" s="12" t="str">
        <f t="shared" si="15"/>
        <v>Ardea purpurea (Linnaeus, 1766)</v>
      </c>
      <c r="L93" s="12" t="str">
        <f t="shared" si="16"/>
        <v>Animalia|Chordata|Aves|Pelecaniformes|Ardeidae|Ardea</v>
      </c>
      <c r="M93" s="12" t="s">
        <v>59</v>
      </c>
      <c r="N93" s="12" t="s">
        <v>60</v>
      </c>
      <c r="O93" s="12" t="s">
        <v>61</v>
      </c>
      <c r="P93" s="12" t="s">
        <v>231</v>
      </c>
      <c r="Q93" s="12" t="s">
        <v>232</v>
      </c>
      <c r="R93" s="12" t="s">
        <v>900</v>
      </c>
      <c r="S93" s="12" t="s">
        <v>236</v>
      </c>
      <c r="T93" s="12" t="s">
        <v>66</v>
      </c>
      <c r="U93" s="12" t="s">
        <v>237</v>
      </c>
      <c r="V93" s="12" t="s">
        <v>1165</v>
      </c>
      <c r="W93" s="12" t="s">
        <v>68</v>
      </c>
      <c r="X93" s="12">
        <v>45.082614999999997</v>
      </c>
      <c r="Y93" s="12">
        <v>12.287164000000001</v>
      </c>
      <c r="Z93" s="14" t="s">
        <v>69</v>
      </c>
      <c r="AA93" s="12">
        <v>7136</v>
      </c>
      <c r="AB93" s="12" t="str">
        <f t="shared" si="20"/>
        <v>45.082615/12.287164</v>
      </c>
      <c r="AC93" s="13" t="s">
        <v>1473</v>
      </c>
      <c r="AD93" s="25">
        <v>46054</v>
      </c>
      <c r="AE93" s="14" t="s">
        <v>70</v>
      </c>
      <c r="AF93" s="14" t="s">
        <v>71</v>
      </c>
      <c r="AG93" s="14" t="s">
        <v>72</v>
      </c>
      <c r="AH93" s="12" t="str">
        <f t="shared" si="17"/>
        <v>Europa | Italy | Piedmont | Roccavione</v>
      </c>
      <c r="AI93" s="12" t="s">
        <v>73</v>
      </c>
      <c r="AJ93" s="12"/>
      <c r="AK93" s="12" t="s">
        <v>74</v>
      </c>
      <c r="AL93" s="12" t="str">
        <f t="shared" si="21"/>
        <v>ITA</v>
      </c>
      <c r="AM93" s="12" t="s">
        <v>90</v>
      </c>
      <c r="AN93" s="12" t="s">
        <v>378</v>
      </c>
      <c r="AO93" s="12" t="s">
        <v>57</v>
      </c>
      <c r="AP93" s="12" t="s">
        <v>77</v>
      </c>
      <c r="AQ93" s="12" t="s">
        <v>78</v>
      </c>
      <c r="AR93" s="12" t="s">
        <v>79</v>
      </c>
      <c r="AS93" s="12" t="s">
        <v>1263</v>
      </c>
      <c r="AT93" s="12" t="s">
        <v>80</v>
      </c>
      <c r="AU93" s="12" t="s">
        <v>377</v>
      </c>
      <c r="AV93" s="12">
        <v>1</v>
      </c>
      <c r="AW93" s="12">
        <v>1</v>
      </c>
      <c r="AX93" s="12" t="s">
        <v>81</v>
      </c>
      <c r="AY93" s="12" t="s">
        <v>82</v>
      </c>
      <c r="AZ93" s="12" t="s">
        <v>83</v>
      </c>
      <c r="BA93" s="12" t="s">
        <v>84</v>
      </c>
      <c r="BB93" s="12"/>
      <c r="BC93" s="27" t="s">
        <v>1671</v>
      </c>
      <c r="BD93" s="27" t="s">
        <v>1672</v>
      </c>
      <c r="BE93" s="12"/>
    </row>
    <row r="94" spans="1:57" x14ac:dyDescent="0.25">
      <c r="A94" s="12" t="s">
        <v>377</v>
      </c>
      <c r="B94" s="12" t="s">
        <v>57</v>
      </c>
      <c r="C94" s="12">
        <v>1973</v>
      </c>
      <c r="D94" s="12"/>
      <c r="E94" s="23"/>
      <c r="F94" s="12">
        <f t="shared" si="18"/>
        <v>1973</v>
      </c>
      <c r="G94" s="12"/>
      <c r="H94" s="12"/>
      <c r="I94" s="24">
        <f t="shared" si="19"/>
        <v>1973</v>
      </c>
      <c r="J94" s="12" t="s">
        <v>86</v>
      </c>
      <c r="K94" s="12" t="str">
        <f t="shared" si="15"/>
        <v>Ardea purpurea (Linnaeus, 1766)</v>
      </c>
      <c r="L94" s="12" t="str">
        <f t="shared" si="16"/>
        <v>Animalia|Chordata|Aves|Pelecaniformes|Ardeidae|Ardea</v>
      </c>
      <c r="M94" s="12" t="s">
        <v>59</v>
      </c>
      <c r="N94" s="12" t="s">
        <v>60</v>
      </c>
      <c r="O94" s="12" t="s">
        <v>61</v>
      </c>
      <c r="P94" s="12" t="s">
        <v>231</v>
      </c>
      <c r="Q94" s="12" t="s">
        <v>232</v>
      </c>
      <c r="R94" s="12" t="s">
        <v>900</v>
      </c>
      <c r="S94" s="12" t="s">
        <v>236</v>
      </c>
      <c r="T94" s="12" t="s">
        <v>66</v>
      </c>
      <c r="U94" s="12" t="s">
        <v>237</v>
      </c>
      <c r="V94" s="12"/>
      <c r="W94" s="12" t="s">
        <v>68</v>
      </c>
      <c r="X94" s="12">
        <v>41.9</v>
      </c>
      <c r="Y94" s="12">
        <v>12.483333</v>
      </c>
      <c r="Z94" s="14" t="s">
        <v>69</v>
      </c>
      <c r="AA94" s="12">
        <v>1759</v>
      </c>
      <c r="AB94" s="12" t="str">
        <f t="shared" si="20"/>
        <v>41.9/12.483333</v>
      </c>
      <c r="AC94" s="13" t="s">
        <v>1473</v>
      </c>
      <c r="AD94" s="25">
        <v>46054</v>
      </c>
      <c r="AE94" s="14" t="s">
        <v>70</v>
      </c>
      <c r="AF94" s="14" t="s">
        <v>71</v>
      </c>
      <c r="AG94" s="14" t="s">
        <v>72</v>
      </c>
      <c r="AH94" s="12" t="str">
        <f t="shared" si="17"/>
        <v>Europa | Italy | Lazio | Rome</v>
      </c>
      <c r="AI94" s="12" t="s">
        <v>73</v>
      </c>
      <c r="AJ94" s="12"/>
      <c r="AK94" s="12" t="s">
        <v>74</v>
      </c>
      <c r="AL94" s="12" t="str">
        <f t="shared" si="21"/>
        <v>ITA</v>
      </c>
      <c r="AM94" s="12" t="s">
        <v>75</v>
      </c>
      <c r="AN94" s="12" t="s">
        <v>153</v>
      </c>
      <c r="AO94" s="12" t="s">
        <v>57</v>
      </c>
      <c r="AP94" s="12" t="s">
        <v>77</v>
      </c>
      <c r="AQ94" s="12" t="s">
        <v>78</v>
      </c>
      <c r="AR94" s="12" t="s">
        <v>79</v>
      </c>
      <c r="AS94" s="12" t="s">
        <v>1264</v>
      </c>
      <c r="AT94" s="12"/>
      <c r="AU94" s="12" t="s">
        <v>379</v>
      </c>
      <c r="AV94" s="12">
        <v>1</v>
      </c>
      <c r="AW94" s="12">
        <v>1</v>
      </c>
      <c r="AX94" s="12" t="s">
        <v>81</v>
      </c>
      <c r="AY94" s="12" t="s">
        <v>82</v>
      </c>
      <c r="AZ94" s="12" t="s">
        <v>83</v>
      </c>
      <c r="BA94" s="12" t="s">
        <v>84</v>
      </c>
      <c r="BB94" s="12"/>
      <c r="BC94" s="27" t="s">
        <v>1673</v>
      </c>
      <c r="BD94" s="27" t="s">
        <v>1674</v>
      </c>
      <c r="BE94" s="12"/>
    </row>
    <row r="95" spans="1:57" x14ac:dyDescent="0.25">
      <c r="A95" s="12" t="s">
        <v>379</v>
      </c>
      <c r="B95" s="12" t="s">
        <v>57</v>
      </c>
      <c r="C95" s="12">
        <v>1888</v>
      </c>
      <c r="D95" s="12"/>
      <c r="E95" s="23"/>
      <c r="F95" s="12">
        <f t="shared" si="18"/>
        <v>1888</v>
      </c>
      <c r="G95" s="12"/>
      <c r="H95" s="12"/>
      <c r="I95" s="24">
        <f t="shared" si="19"/>
        <v>1888</v>
      </c>
      <c r="J95" s="12" t="s">
        <v>58</v>
      </c>
      <c r="K95" s="12" t="str">
        <f t="shared" si="15"/>
        <v>Recurvirostra avosetta (Linnaeus, 1758)</v>
      </c>
      <c r="L95" s="12" t="str">
        <f t="shared" si="16"/>
        <v>Animalia|Chordata|Aves|Charadriiformes|Recurvirostridae|Recurvirostra</v>
      </c>
      <c r="M95" s="12" t="s">
        <v>59</v>
      </c>
      <c r="N95" s="12" t="s">
        <v>60</v>
      </c>
      <c r="O95" s="12" t="s">
        <v>61</v>
      </c>
      <c r="P95" s="12" t="s">
        <v>381</v>
      </c>
      <c r="Q95" s="12" t="s">
        <v>382</v>
      </c>
      <c r="R95" s="12" t="s">
        <v>922</v>
      </c>
      <c r="S95" s="12" t="s">
        <v>383</v>
      </c>
      <c r="T95" s="12" t="s">
        <v>66</v>
      </c>
      <c r="U95" s="12" t="s">
        <v>384</v>
      </c>
      <c r="V95" s="12"/>
      <c r="W95" s="12" t="s">
        <v>68</v>
      </c>
      <c r="X95" s="12">
        <v>41.9</v>
      </c>
      <c r="Y95" s="12">
        <v>12.483333</v>
      </c>
      <c r="Z95" s="14" t="s">
        <v>69</v>
      </c>
      <c r="AA95" s="12">
        <v>36625</v>
      </c>
      <c r="AB95" s="12" t="str">
        <f t="shared" si="20"/>
        <v>41.9/12.483333</v>
      </c>
      <c r="AC95" s="13" t="s">
        <v>1473</v>
      </c>
      <c r="AD95" s="25">
        <v>46054</v>
      </c>
      <c r="AE95" s="14" t="s">
        <v>70</v>
      </c>
      <c r="AF95" s="14" t="s">
        <v>71</v>
      </c>
      <c r="AG95" s="14" t="s">
        <v>72</v>
      </c>
      <c r="AH95" s="12" t="str">
        <f t="shared" si="17"/>
        <v>Europa | Italy | Lazio | Maccarese</v>
      </c>
      <c r="AI95" s="12" t="s">
        <v>73</v>
      </c>
      <c r="AJ95" s="12"/>
      <c r="AK95" s="12" t="s">
        <v>74</v>
      </c>
      <c r="AL95" s="12" t="str">
        <f t="shared" si="21"/>
        <v>ITA</v>
      </c>
      <c r="AM95" s="12" t="s">
        <v>75</v>
      </c>
      <c r="AN95" s="12" t="s">
        <v>304</v>
      </c>
      <c r="AO95" s="12" t="s">
        <v>57</v>
      </c>
      <c r="AP95" s="12" t="s">
        <v>77</v>
      </c>
      <c r="AQ95" s="12" t="s">
        <v>78</v>
      </c>
      <c r="AR95" s="12" t="s">
        <v>79</v>
      </c>
      <c r="AS95" s="12" t="s">
        <v>1265</v>
      </c>
      <c r="AT95" s="12"/>
      <c r="AU95" s="12" t="s">
        <v>380</v>
      </c>
      <c r="AV95" s="12">
        <v>1</v>
      </c>
      <c r="AW95" s="12">
        <v>1</v>
      </c>
      <c r="AX95" s="12" t="s">
        <v>81</v>
      </c>
      <c r="AY95" s="12" t="s">
        <v>82</v>
      </c>
      <c r="AZ95" s="12" t="s">
        <v>83</v>
      </c>
      <c r="BA95" s="12" t="s">
        <v>84</v>
      </c>
      <c r="BB95" s="12"/>
      <c r="BC95" s="27" t="s">
        <v>1675</v>
      </c>
      <c r="BD95" s="27" t="s">
        <v>1676</v>
      </c>
      <c r="BE95" s="12"/>
    </row>
    <row r="96" spans="1:57" x14ac:dyDescent="0.25">
      <c r="A96" s="12" t="s">
        <v>380</v>
      </c>
      <c r="B96" s="12" t="s">
        <v>57</v>
      </c>
      <c r="C96" s="12">
        <v>1896</v>
      </c>
      <c r="D96" s="12"/>
      <c r="E96" s="23"/>
      <c r="F96" s="12">
        <f t="shared" si="18"/>
        <v>1896</v>
      </c>
      <c r="G96" s="12"/>
      <c r="H96" s="12"/>
      <c r="I96" s="24">
        <f t="shared" si="19"/>
        <v>1896</v>
      </c>
      <c r="J96" s="12" t="s">
        <v>58</v>
      </c>
      <c r="K96" s="12" t="str">
        <f t="shared" si="15"/>
        <v>Recurvirostra avosetta (Linnaeus, 1758)</v>
      </c>
      <c r="L96" s="12" t="str">
        <f t="shared" si="16"/>
        <v>Animalia|Chordata|Aves|Charadriiformes|Recurvirostridae|Recurvirostra</v>
      </c>
      <c r="M96" s="12" t="s">
        <v>59</v>
      </c>
      <c r="N96" s="12" t="s">
        <v>60</v>
      </c>
      <c r="O96" s="12" t="s">
        <v>61</v>
      </c>
      <c r="P96" s="12" t="s">
        <v>381</v>
      </c>
      <c r="Q96" s="12" t="s">
        <v>382</v>
      </c>
      <c r="R96" s="12" t="s">
        <v>922</v>
      </c>
      <c r="S96" s="12" t="s">
        <v>383</v>
      </c>
      <c r="T96" s="12" t="s">
        <v>66</v>
      </c>
      <c r="U96" s="12" t="s">
        <v>384</v>
      </c>
      <c r="V96" s="12"/>
      <c r="W96" s="12" t="s">
        <v>68</v>
      </c>
      <c r="X96" s="12">
        <v>41.883333</v>
      </c>
      <c r="Y96" s="12">
        <v>12.216666999999999</v>
      </c>
      <c r="Z96" s="14" t="s">
        <v>69</v>
      </c>
      <c r="AA96" s="12">
        <v>1427</v>
      </c>
      <c r="AB96" s="12" t="str">
        <f t="shared" si="20"/>
        <v>41.883333/12.216667</v>
      </c>
      <c r="AC96" s="13" t="s">
        <v>1473</v>
      </c>
      <c r="AD96" s="25">
        <v>46054</v>
      </c>
      <c r="AE96" s="14" t="s">
        <v>70</v>
      </c>
      <c r="AF96" s="14" t="s">
        <v>71</v>
      </c>
      <c r="AG96" s="14" t="s">
        <v>72</v>
      </c>
      <c r="AH96" s="12" t="str">
        <f t="shared" si="17"/>
        <v>Europa | Italy | Lazio | Fiumicino</v>
      </c>
      <c r="AI96" s="12" t="s">
        <v>73</v>
      </c>
      <c r="AJ96" s="12"/>
      <c r="AK96" s="12" t="s">
        <v>74</v>
      </c>
      <c r="AL96" s="12" t="str">
        <f t="shared" si="21"/>
        <v>ITA</v>
      </c>
      <c r="AM96" s="12" t="s">
        <v>75</v>
      </c>
      <c r="AN96" s="12" t="s">
        <v>386</v>
      </c>
      <c r="AO96" s="12" t="s">
        <v>57</v>
      </c>
      <c r="AP96" s="12" t="s">
        <v>77</v>
      </c>
      <c r="AQ96" s="12" t="s">
        <v>78</v>
      </c>
      <c r="AR96" s="12" t="s">
        <v>79</v>
      </c>
      <c r="AS96" s="12" t="s">
        <v>1266</v>
      </c>
      <c r="AT96" s="12"/>
      <c r="AU96" s="12" t="s">
        <v>385</v>
      </c>
      <c r="AV96" s="12">
        <v>1</v>
      </c>
      <c r="AW96" s="12">
        <v>1</v>
      </c>
      <c r="AX96" s="12" t="s">
        <v>81</v>
      </c>
      <c r="AY96" s="12" t="s">
        <v>82</v>
      </c>
      <c r="AZ96" s="12" t="s">
        <v>83</v>
      </c>
      <c r="BA96" s="12" t="s">
        <v>84</v>
      </c>
      <c r="BB96" s="12"/>
      <c r="BC96" s="27" t="s">
        <v>1677</v>
      </c>
      <c r="BD96" s="27" t="s">
        <v>1678</v>
      </c>
      <c r="BE96" s="12"/>
    </row>
    <row r="97" spans="1:57" x14ac:dyDescent="0.25">
      <c r="A97" s="12" t="s">
        <v>385</v>
      </c>
      <c r="B97" s="12" t="s">
        <v>57</v>
      </c>
      <c r="C97" s="12">
        <v>1920</v>
      </c>
      <c r="D97" s="12"/>
      <c r="E97" s="23"/>
      <c r="F97" s="12">
        <f t="shared" si="18"/>
        <v>1920</v>
      </c>
      <c r="G97" s="12"/>
      <c r="H97" s="12"/>
      <c r="I97" s="24">
        <f t="shared" si="19"/>
        <v>1920</v>
      </c>
      <c r="J97" s="12" t="s">
        <v>58</v>
      </c>
      <c r="K97" s="12" t="str">
        <f t="shared" si="15"/>
        <v>Himantopus himantopus (Linnaeus, 1758)</v>
      </c>
      <c r="L97" s="12" t="str">
        <f t="shared" si="16"/>
        <v>Animalia|Chordata|Aves|Charadriiformes|Recurvirostridae|Himantopus</v>
      </c>
      <c r="M97" s="12" t="s">
        <v>59</v>
      </c>
      <c r="N97" s="12" t="s">
        <v>60</v>
      </c>
      <c r="O97" s="12" t="s">
        <v>61</v>
      </c>
      <c r="P97" s="12" t="s">
        <v>381</v>
      </c>
      <c r="Q97" s="12" t="s">
        <v>382</v>
      </c>
      <c r="R97" s="12" t="s">
        <v>923</v>
      </c>
      <c r="S97" s="12" t="s">
        <v>388</v>
      </c>
      <c r="T97" s="12" t="s">
        <v>66</v>
      </c>
      <c r="U97" s="12" t="s">
        <v>389</v>
      </c>
      <c r="V97" s="12"/>
      <c r="W97" s="12" t="s">
        <v>68</v>
      </c>
      <c r="X97" s="12">
        <v>41.777932999999997</v>
      </c>
      <c r="Y97" s="12">
        <v>12.297191</v>
      </c>
      <c r="Z97" s="14" t="s">
        <v>69</v>
      </c>
      <c r="AA97" s="12">
        <v>7066</v>
      </c>
      <c r="AB97" s="12" t="str">
        <f t="shared" si="20"/>
        <v>41.777933/12.297191</v>
      </c>
      <c r="AC97" s="13" t="s">
        <v>1473</v>
      </c>
      <c r="AD97" s="25">
        <v>46054</v>
      </c>
      <c r="AE97" s="14" t="s">
        <v>70</v>
      </c>
      <c r="AF97" s="14" t="s">
        <v>71</v>
      </c>
      <c r="AG97" s="14" t="s">
        <v>72</v>
      </c>
      <c r="AH97" s="12" t="str">
        <f t="shared" si="17"/>
        <v>Europa | Italy | Lazio | Fiumicino</v>
      </c>
      <c r="AI97" s="12" t="s">
        <v>73</v>
      </c>
      <c r="AJ97" s="12"/>
      <c r="AK97" s="12" t="s">
        <v>74</v>
      </c>
      <c r="AL97" s="12" t="str">
        <f t="shared" si="21"/>
        <v>ITA</v>
      </c>
      <c r="AM97" s="12" t="s">
        <v>75</v>
      </c>
      <c r="AN97" s="12" t="s">
        <v>386</v>
      </c>
      <c r="AO97" s="12" t="s">
        <v>57</v>
      </c>
      <c r="AP97" s="12" t="s">
        <v>77</v>
      </c>
      <c r="AQ97" s="12" t="s">
        <v>78</v>
      </c>
      <c r="AR97" s="12" t="s">
        <v>79</v>
      </c>
      <c r="AS97" s="12" t="s">
        <v>1267</v>
      </c>
      <c r="AT97" s="12"/>
      <c r="AU97" s="12" t="s">
        <v>387</v>
      </c>
      <c r="AV97" s="12">
        <v>1</v>
      </c>
      <c r="AW97" s="12">
        <v>1</v>
      </c>
      <c r="AX97" s="12" t="s">
        <v>81</v>
      </c>
      <c r="AY97" s="12" t="s">
        <v>82</v>
      </c>
      <c r="AZ97" s="12" t="s">
        <v>83</v>
      </c>
      <c r="BA97" s="12" t="s">
        <v>84</v>
      </c>
      <c r="BB97" s="12"/>
      <c r="BC97" s="27" t="s">
        <v>1679</v>
      </c>
      <c r="BD97" s="27" t="s">
        <v>1680</v>
      </c>
      <c r="BE97" s="12"/>
    </row>
    <row r="98" spans="1:57" x14ac:dyDescent="0.25">
      <c r="A98" s="12" t="s">
        <v>387</v>
      </c>
      <c r="B98" s="12" t="s">
        <v>57</v>
      </c>
      <c r="C98" s="25">
        <v>28550</v>
      </c>
      <c r="D98" s="12">
        <f>IFERROR(C98-DATE(YEAR(C98),1,1)+1,"")</f>
        <v>60</v>
      </c>
      <c r="E98" s="23">
        <f>IFERROR(C98-DATE(YEAR(C98),1,1)+1,"")</f>
        <v>60</v>
      </c>
      <c r="F98" s="12">
        <f>IFERROR(IF(C98="","",IF(C98&lt;10000,C98,YEAR(C98))),"")</f>
        <v>1978</v>
      </c>
      <c r="G98" s="12">
        <f>IFERROR(MONTH(C98),"")</f>
        <v>3</v>
      </c>
      <c r="H98" s="12">
        <f>IFERROR(DAY(C98),"")</f>
        <v>1</v>
      </c>
      <c r="I98" s="24">
        <f>IF(C98="","",IF(C98&lt;10000,C98,C98))</f>
        <v>28550</v>
      </c>
      <c r="J98" s="12" t="s">
        <v>391</v>
      </c>
      <c r="K98" s="12" t="str">
        <f>R98&amp;" "&amp;S98&amp;" "&amp;"("&amp;J98&amp;")"</f>
        <v>Charadrius dubius (Scopoli, 1786)</v>
      </c>
      <c r="L98" s="12" t="str">
        <f>M98&amp;"|"&amp;N98&amp;"|"&amp;O98&amp;"|"&amp;P98&amp;"|"&amp;Q98&amp;"|"&amp;R98</f>
        <v>Animalia|Chordata|Aves|Charadriiformes|Charadriidae|Charadrius</v>
      </c>
      <c r="M98" s="12" t="s">
        <v>59</v>
      </c>
      <c r="N98" s="12" t="s">
        <v>60</v>
      </c>
      <c r="O98" s="12" t="s">
        <v>61</v>
      </c>
      <c r="P98" s="12" t="s">
        <v>381</v>
      </c>
      <c r="Q98" s="12" t="s">
        <v>392</v>
      </c>
      <c r="R98" s="12" t="s">
        <v>924</v>
      </c>
      <c r="S98" s="12" t="s">
        <v>393</v>
      </c>
      <c r="T98" s="12" t="s">
        <v>66</v>
      </c>
      <c r="U98" s="12" t="s">
        <v>394</v>
      </c>
      <c r="V98" s="12" t="s">
        <v>1167</v>
      </c>
      <c r="W98" s="12" t="s">
        <v>68</v>
      </c>
      <c r="X98" s="12">
        <v>42.25</v>
      </c>
      <c r="Y98" s="12">
        <v>11.75</v>
      </c>
      <c r="Z98" s="14" t="s">
        <v>69</v>
      </c>
      <c r="AA98" s="12">
        <v>2539</v>
      </c>
      <c r="AB98" s="12" t="str">
        <f>X98&amp;"/"&amp;Y98</f>
        <v>42.25/11.75</v>
      </c>
      <c r="AC98" s="13" t="s">
        <v>1473</v>
      </c>
      <c r="AD98" s="25">
        <v>46054</v>
      </c>
      <c r="AE98" s="14" t="s">
        <v>70</v>
      </c>
      <c r="AF98" s="14" t="s">
        <v>71</v>
      </c>
      <c r="AG98" s="14" t="s">
        <v>72</v>
      </c>
      <c r="AH98" s="12" t="str">
        <f>_xlfn.TEXTJOIN(" | ",TRUE,AI98,AJ98,AK98,AM98,AN98)</f>
        <v>Europa | Italy | Lazio | Tarquinia</v>
      </c>
      <c r="AI98" s="12" t="s">
        <v>73</v>
      </c>
      <c r="AJ98" s="12"/>
      <c r="AK98" s="12" t="s">
        <v>74</v>
      </c>
      <c r="AL98" s="12" t="str">
        <f t="shared" si="21"/>
        <v>ITA</v>
      </c>
      <c r="AM98" s="12" t="s">
        <v>75</v>
      </c>
      <c r="AN98" s="12" t="s">
        <v>273</v>
      </c>
      <c r="AO98" s="12" t="s">
        <v>57</v>
      </c>
      <c r="AP98" s="12" t="s">
        <v>77</v>
      </c>
      <c r="AQ98" s="12" t="s">
        <v>78</v>
      </c>
      <c r="AR98" s="12" t="s">
        <v>79</v>
      </c>
      <c r="AS98" s="12" t="s">
        <v>1268</v>
      </c>
      <c r="AT98" s="12" t="s">
        <v>80</v>
      </c>
      <c r="AU98" s="12" t="s">
        <v>390</v>
      </c>
      <c r="AV98" s="12">
        <v>1</v>
      </c>
      <c r="AW98" s="12">
        <v>1</v>
      </c>
      <c r="AX98" s="12" t="s">
        <v>81</v>
      </c>
      <c r="AY98" s="12" t="s">
        <v>82</v>
      </c>
      <c r="AZ98" s="12" t="s">
        <v>83</v>
      </c>
      <c r="BA98" s="12" t="s">
        <v>84</v>
      </c>
      <c r="BB98" s="12"/>
      <c r="BC98" s="27" t="s">
        <v>1681</v>
      </c>
      <c r="BD98" s="27" t="s">
        <v>1682</v>
      </c>
      <c r="BE98" s="12"/>
    </row>
    <row r="99" spans="1:57" x14ac:dyDescent="0.25">
      <c r="A99" s="12" t="s">
        <v>390</v>
      </c>
      <c r="B99" s="12" t="s">
        <v>57</v>
      </c>
      <c r="C99" s="25">
        <v>28579</v>
      </c>
      <c r="D99" s="12">
        <f>IFERROR(C99-DATE(YEAR(C99),1,1)+1,"")</f>
        <v>89</v>
      </c>
      <c r="E99" s="23">
        <f>IFERROR(C99-DATE(YEAR(C99),1,1)+1,"")</f>
        <v>89</v>
      </c>
      <c r="F99" s="12">
        <f>IFERROR(IF(C99="","",IF(C99&lt;10000,C99,YEAR(C99))),"")</f>
        <v>1978</v>
      </c>
      <c r="G99" s="12">
        <f>IFERROR(MONTH(C99),"")</f>
        <v>3</v>
      </c>
      <c r="H99" s="12">
        <f>IFERROR(DAY(C99),"")</f>
        <v>30</v>
      </c>
      <c r="I99" s="24">
        <f>IF(C99="","",IF(C99&lt;10000,C99,C99))</f>
        <v>28579</v>
      </c>
      <c r="J99" s="12" t="s">
        <v>58</v>
      </c>
      <c r="K99" s="12" t="str">
        <f>R99&amp;" "&amp;S99&amp;" "&amp;"("&amp;J99&amp;")"</f>
        <v>Charadrius hiaticula (Linnaeus, 1758)</v>
      </c>
      <c r="L99" s="12" t="str">
        <f>M99&amp;"|"&amp;N99&amp;"|"&amp;O99&amp;"|"&amp;P99&amp;"|"&amp;Q99&amp;"|"&amp;R99</f>
        <v>Animalia|Chordata|Aves|Charadriiformes|Charadriidae|Charadrius</v>
      </c>
      <c r="M99" s="12" t="s">
        <v>59</v>
      </c>
      <c r="N99" s="12" t="s">
        <v>60</v>
      </c>
      <c r="O99" s="12" t="s">
        <v>61</v>
      </c>
      <c r="P99" s="12" t="s">
        <v>381</v>
      </c>
      <c r="Q99" s="12" t="s">
        <v>392</v>
      </c>
      <c r="R99" s="12" t="s">
        <v>924</v>
      </c>
      <c r="S99" s="12" t="s">
        <v>396</v>
      </c>
      <c r="T99" s="12" t="s">
        <v>66</v>
      </c>
      <c r="U99" s="12" t="s">
        <v>397</v>
      </c>
      <c r="V99" s="12" t="s">
        <v>1167</v>
      </c>
      <c r="W99" s="12" t="s">
        <v>68</v>
      </c>
      <c r="X99" s="12">
        <v>42.25</v>
      </c>
      <c r="Y99" s="12">
        <v>11.75</v>
      </c>
      <c r="Z99" s="14" t="s">
        <v>69</v>
      </c>
      <c r="AA99" s="12">
        <v>2539</v>
      </c>
      <c r="AB99" s="12" t="str">
        <f>X99&amp;"/"&amp;Y99</f>
        <v>42.25/11.75</v>
      </c>
      <c r="AC99" s="13" t="s">
        <v>1473</v>
      </c>
      <c r="AD99" s="25">
        <v>46054</v>
      </c>
      <c r="AE99" s="14" t="s">
        <v>70</v>
      </c>
      <c r="AF99" s="14" t="s">
        <v>71</v>
      </c>
      <c r="AG99" s="14" t="s">
        <v>72</v>
      </c>
      <c r="AH99" s="12" t="str">
        <f>_xlfn.TEXTJOIN(" | ",TRUE,AI99,AJ99,AK99,AM99,AN99)</f>
        <v>Europa | Italy | Lazio | Tarquinia</v>
      </c>
      <c r="AI99" s="12" t="s">
        <v>73</v>
      </c>
      <c r="AJ99" s="12"/>
      <c r="AK99" s="12" t="s">
        <v>74</v>
      </c>
      <c r="AL99" s="12" t="str">
        <f t="shared" si="21"/>
        <v>ITA</v>
      </c>
      <c r="AM99" s="12" t="s">
        <v>75</v>
      </c>
      <c r="AN99" s="12" t="s">
        <v>273</v>
      </c>
      <c r="AO99" s="12" t="s">
        <v>57</v>
      </c>
      <c r="AP99" s="12" t="s">
        <v>77</v>
      </c>
      <c r="AQ99" s="12" t="s">
        <v>78</v>
      </c>
      <c r="AR99" s="12" t="s">
        <v>79</v>
      </c>
      <c r="AS99" s="12" t="s">
        <v>1269</v>
      </c>
      <c r="AT99" s="12"/>
      <c r="AU99" s="12" t="s">
        <v>395</v>
      </c>
      <c r="AV99" s="12">
        <v>1</v>
      </c>
      <c r="AW99" s="12">
        <v>1</v>
      </c>
      <c r="AX99" s="12" t="s">
        <v>81</v>
      </c>
      <c r="AY99" s="12" t="s">
        <v>82</v>
      </c>
      <c r="AZ99" s="12" t="s">
        <v>83</v>
      </c>
      <c r="BA99" s="12" t="s">
        <v>84</v>
      </c>
      <c r="BB99" s="12"/>
      <c r="BC99" s="27" t="s">
        <v>1683</v>
      </c>
      <c r="BD99" s="27" t="s">
        <v>1684</v>
      </c>
      <c r="BE99" s="12"/>
    </row>
    <row r="100" spans="1:57" x14ac:dyDescent="0.25">
      <c r="A100" s="12" t="s">
        <v>395</v>
      </c>
      <c r="B100" s="12" t="s">
        <v>57</v>
      </c>
      <c r="C100" s="25">
        <v>22572</v>
      </c>
      <c r="D100" s="12">
        <f t="shared" si="24"/>
        <v>291</v>
      </c>
      <c r="E100" s="23">
        <f t="shared" si="25"/>
        <v>291</v>
      </c>
      <c r="F100" s="12">
        <f t="shared" si="18"/>
        <v>1961</v>
      </c>
      <c r="G100" s="12">
        <f t="shared" si="13"/>
        <v>10</v>
      </c>
      <c r="H100" s="12">
        <f t="shared" si="14"/>
        <v>18</v>
      </c>
      <c r="I100" s="24">
        <f t="shared" si="19"/>
        <v>22572</v>
      </c>
      <c r="J100" s="12" t="s">
        <v>58</v>
      </c>
      <c r="K100" s="12" t="str">
        <f t="shared" si="15"/>
        <v>Vanellus vanellus (Linnaeus, 1758)</v>
      </c>
      <c r="L100" s="12" t="str">
        <f t="shared" si="16"/>
        <v>Animalia|Chordata|Aves|Charadriiformes|Charadriidae|Vanellus</v>
      </c>
      <c r="M100" s="12" t="s">
        <v>59</v>
      </c>
      <c r="N100" s="12" t="s">
        <v>60</v>
      </c>
      <c r="O100" s="12" t="s">
        <v>61</v>
      </c>
      <c r="P100" s="12" t="s">
        <v>381</v>
      </c>
      <c r="Q100" s="12" t="s">
        <v>392</v>
      </c>
      <c r="R100" s="12" t="s">
        <v>925</v>
      </c>
      <c r="S100" s="12" t="s">
        <v>399</v>
      </c>
      <c r="T100" s="12" t="s">
        <v>66</v>
      </c>
      <c r="U100" s="12" t="s">
        <v>400</v>
      </c>
      <c r="V100" s="12" t="s">
        <v>1165</v>
      </c>
      <c r="W100" s="12" t="s">
        <v>68</v>
      </c>
      <c r="X100" s="12">
        <v>44.381999999999998</v>
      </c>
      <c r="Y100" s="12">
        <v>7.5359999999999996</v>
      </c>
      <c r="Z100" s="14" t="s">
        <v>69</v>
      </c>
      <c r="AA100" s="12">
        <v>20000</v>
      </c>
      <c r="AB100" s="12" t="str">
        <f t="shared" si="20"/>
        <v>44.382/7.536</v>
      </c>
      <c r="AC100" s="13" t="s">
        <v>1473</v>
      </c>
      <c r="AD100" s="25">
        <v>46054</v>
      </c>
      <c r="AE100" s="14" t="s">
        <v>70</v>
      </c>
      <c r="AF100" s="14" t="s">
        <v>71</v>
      </c>
      <c r="AG100" s="14" t="s">
        <v>72</v>
      </c>
      <c r="AH100" s="12" t="str">
        <f t="shared" si="17"/>
        <v>Europa | Italy | Piedmont | Cuneo</v>
      </c>
      <c r="AI100" s="12" t="s">
        <v>73</v>
      </c>
      <c r="AJ100" s="12"/>
      <c r="AK100" s="12" t="s">
        <v>74</v>
      </c>
      <c r="AL100" s="12" t="str">
        <f t="shared" si="21"/>
        <v>ITA</v>
      </c>
      <c r="AM100" s="12" t="s">
        <v>90</v>
      </c>
      <c r="AN100" s="12" t="s">
        <v>206</v>
      </c>
      <c r="AO100" s="12" t="s">
        <v>57</v>
      </c>
      <c r="AP100" s="12" t="s">
        <v>77</v>
      </c>
      <c r="AQ100" s="12" t="s">
        <v>78</v>
      </c>
      <c r="AR100" s="12" t="s">
        <v>79</v>
      </c>
      <c r="AS100" s="12" t="s">
        <v>1270</v>
      </c>
      <c r="AT100" s="12" t="s">
        <v>80</v>
      </c>
      <c r="AU100" s="12" t="s">
        <v>398</v>
      </c>
      <c r="AV100" s="12">
        <v>1</v>
      </c>
      <c r="AW100" s="12">
        <v>1</v>
      </c>
      <c r="AX100" s="12" t="s">
        <v>81</v>
      </c>
      <c r="AY100" s="12" t="s">
        <v>82</v>
      </c>
      <c r="AZ100" s="12" t="s">
        <v>83</v>
      </c>
      <c r="BA100" s="12" t="s">
        <v>84</v>
      </c>
      <c r="BB100" s="12"/>
      <c r="BC100" s="27" t="s">
        <v>1685</v>
      </c>
      <c r="BD100" s="27" t="s">
        <v>1686</v>
      </c>
      <c r="BE100" s="12"/>
    </row>
    <row r="101" spans="1:57" x14ac:dyDescent="0.25">
      <c r="A101" s="12" t="s">
        <v>398</v>
      </c>
      <c r="B101" s="12" t="s">
        <v>57</v>
      </c>
      <c r="C101" s="12">
        <v>1875</v>
      </c>
      <c r="D101" s="12"/>
      <c r="E101" s="23"/>
      <c r="F101" s="12">
        <f t="shared" si="18"/>
        <v>1875</v>
      </c>
      <c r="G101" s="12"/>
      <c r="H101" s="12"/>
      <c r="I101" s="24">
        <f t="shared" si="19"/>
        <v>1875</v>
      </c>
      <c r="J101" s="12" t="s">
        <v>58</v>
      </c>
      <c r="K101" s="12" t="str">
        <f t="shared" si="15"/>
        <v>Pluvialis apricaria (Linnaeus, 1758)</v>
      </c>
      <c r="L101" s="12" t="str">
        <f t="shared" si="16"/>
        <v>Animalia|Chordata|Aves|Charadriiformes|Charadriidae|Pluvialis</v>
      </c>
      <c r="M101" s="12" t="s">
        <v>59</v>
      </c>
      <c r="N101" s="12" t="s">
        <v>60</v>
      </c>
      <c r="O101" s="12" t="s">
        <v>61</v>
      </c>
      <c r="P101" s="12" t="s">
        <v>381</v>
      </c>
      <c r="Q101" s="12" t="s">
        <v>392</v>
      </c>
      <c r="R101" s="12" t="s">
        <v>926</v>
      </c>
      <c r="S101" s="12" t="s">
        <v>402</v>
      </c>
      <c r="T101" s="12" t="s">
        <v>66</v>
      </c>
      <c r="U101" s="12" t="s">
        <v>403</v>
      </c>
      <c r="V101" s="12"/>
      <c r="W101" s="12" t="s">
        <v>68</v>
      </c>
      <c r="X101" s="12">
        <v>41.9</v>
      </c>
      <c r="Y101" s="12">
        <v>12.483333</v>
      </c>
      <c r="Z101" s="14" t="s">
        <v>69</v>
      </c>
      <c r="AA101" s="12">
        <v>1509</v>
      </c>
      <c r="AB101" s="12" t="str">
        <f t="shared" si="20"/>
        <v>41.9/12.483333</v>
      </c>
      <c r="AC101" s="13" t="s">
        <v>1473</v>
      </c>
      <c r="AD101" s="25">
        <v>46054</v>
      </c>
      <c r="AE101" s="14" t="s">
        <v>70</v>
      </c>
      <c r="AF101" s="14" t="s">
        <v>71</v>
      </c>
      <c r="AG101" s="14" t="s">
        <v>72</v>
      </c>
      <c r="AH101" s="12" t="str">
        <f t="shared" si="17"/>
        <v>Europa | Italy | Lazio | Rome</v>
      </c>
      <c r="AI101" s="12" t="s">
        <v>73</v>
      </c>
      <c r="AJ101" s="12"/>
      <c r="AK101" s="12" t="s">
        <v>74</v>
      </c>
      <c r="AL101" s="12" t="str">
        <f t="shared" si="21"/>
        <v>ITA</v>
      </c>
      <c r="AM101" s="12" t="s">
        <v>75</v>
      </c>
      <c r="AN101" s="12" t="s">
        <v>153</v>
      </c>
      <c r="AO101" s="12" t="s">
        <v>57</v>
      </c>
      <c r="AP101" s="12" t="s">
        <v>77</v>
      </c>
      <c r="AQ101" s="12" t="s">
        <v>78</v>
      </c>
      <c r="AR101" s="12" t="s">
        <v>79</v>
      </c>
      <c r="AS101" s="12" t="s">
        <v>1271</v>
      </c>
      <c r="AT101" s="12"/>
      <c r="AU101" s="12" t="s">
        <v>401</v>
      </c>
      <c r="AV101" s="12">
        <v>1</v>
      </c>
      <c r="AW101" s="12">
        <v>1</v>
      </c>
      <c r="AX101" s="12" t="s">
        <v>81</v>
      </c>
      <c r="AY101" s="12" t="s">
        <v>82</v>
      </c>
      <c r="AZ101" s="12" t="s">
        <v>83</v>
      </c>
      <c r="BA101" s="12" t="s">
        <v>84</v>
      </c>
      <c r="BB101" s="12"/>
      <c r="BC101" s="27" t="s">
        <v>1687</v>
      </c>
      <c r="BD101" s="27" t="s">
        <v>1688</v>
      </c>
      <c r="BE101" s="12"/>
    </row>
    <row r="102" spans="1:57" x14ac:dyDescent="0.25">
      <c r="A102" s="12" t="s">
        <v>401</v>
      </c>
      <c r="B102" s="12" t="s">
        <v>57</v>
      </c>
      <c r="C102" s="12">
        <v>1978</v>
      </c>
      <c r="D102" s="12"/>
      <c r="E102" s="23"/>
      <c r="F102" s="12">
        <f t="shared" si="18"/>
        <v>1978</v>
      </c>
      <c r="G102" s="12"/>
      <c r="H102" s="12"/>
      <c r="I102" s="24">
        <f t="shared" si="19"/>
        <v>1978</v>
      </c>
      <c r="J102" s="12" t="s">
        <v>58</v>
      </c>
      <c r="K102" s="12" t="str">
        <f t="shared" si="15"/>
        <v>Calidris pugnax (Linnaeus, 1758)</v>
      </c>
      <c r="L102" s="12" t="str">
        <f t="shared" si="16"/>
        <v>Animalia|Chordata|Aves|Charadriiformes|Scolopacidae|Calidris</v>
      </c>
      <c r="M102" s="12" t="s">
        <v>59</v>
      </c>
      <c r="N102" s="12" t="s">
        <v>60</v>
      </c>
      <c r="O102" s="12" t="s">
        <v>61</v>
      </c>
      <c r="P102" s="12" t="s">
        <v>381</v>
      </c>
      <c r="Q102" s="12" t="s">
        <v>405</v>
      </c>
      <c r="R102" s="12" t="s">
        <v>927</v>
      </c>
      <c r="S102" s="12" t="s">
        <v>406</v>
      </c>
      <c r="T102" s="12" t="s">
        <v>66</v>
      </c>
      <c r="U102" s="12" t="s">
        <v>407</v>
      </c>
      <c r="V102" s="12" t="s">
        <v>1167</v>
      </c>
      <c r="W102" s="12" t="s">
        <v>68</v>
      </c>
      <c r="X102" s="12">
        <v>42.25</v>
      </c>
      <c r="Y102" s="12">
        <v>11.75</v>
      </c>
      <c r="Z102" s="14" t="s">
        <v>69</v>
      </c>
      <c r="AA102" s="12">
        <v>36625</v>
      </c>
      <c r="AB102" s="12" t="str">
        <f t="shared" si="20"/>
        <v>42.25/11.75</v>
      </c>
      <c r="AC102" s="13" t="s">
        <v>1473</v>
      </c>
      <c r="AD102" s="25">
        <v>46054</v>
      </c>
      <c r="AE102" s="14" t="s">
        <v>70</v>
      </c>
      <c r="AF102" s="14" t="s">
        <v>71</v>
      </c>
      <c r="AG102" s="14" t="s">
        <v>72</v>
      </c>
      <c r="AH102" s="12" t="str">
        <f t="shared" si="17"/>
        <v>Europa | Italy | Lazio | Tarquinia</v>
      </c>
      <c r="AI102" s="12" t="s">
        <v>73</v>
      </c>
      <c r="AJ102" s="12"/>
      <c r="AK102" s="12" t="s">
        <v>74</v>
      </c>
      <c r="AL102" s="12" t="str">
        <f t="shared" si="21"/>
        <v>ITA</v>
      </c>
      <c r="AM102" s="12" t="s">
        <v>75</v>
      </c>
      <c r="AN102" s="12" t="s">
        <v>273</v>
      </c>
      <c r="AO102" s="12" t="s">
        <v>57</v>
      </c>
      <c r="AP102" s="12" t="s">
        <v>77</v>
      </c>
      <c r="AQ102" s="12" t="s">
        <v>78</v>
      </c>
      <c r="AR102" s="12" t="s">
        <v>79</v>
      </c>
      <c r="AS102" s="12" t="s">
        <v>1272</v>
      </c>
      <c r="AT102" s="12"/>
      <c r="AU102" s="12" t="s">
        <v>404</v>
      </c>
      <c r="AV102" s="12">
        <v>1</v>
      </c>
      <c r="AW102" s="12">
        <v>1</v>
      </c>
      <c r="AX102" s="12" t="s">
        <v>81</v>
      </c>
      <c r="AY102" s="12" t="s">
        <v>82</v>
      </c>
      <c r="AZ102" s="12" t="s">
        <v>83</v>
      </c>
      <c r="BA102" s="12" t="s">
        <v>84</v>
      </c>
      <c r="BB102" s="12"/>
      <c r="BC102" s="27" t="s">
        <v>1689</v>
      </c>
      <c r="BD102" s="27" t="s">
        <v>1690</v>
      </c>
      <c r="BE102" s="12"/>
    </row>
    <row r="103" spans="1:57" x14ac:dyDescent="0.25">
      <c r="A103" s="12" t="s">
        <v>404</v>
      </c>
      <c r="B103" s="12" t="s">
        <v>57</v>
      </c>
      <c r="C103" s="12">
        <v>1875</v>
      </c>
      <c r="D103" s="12"/>
      <c r="E103" s="23"/>
      <c r="F103" s="12">
        <f t="shared" si="18"/>
        <v>1875</v>
      </c>
      <c r="G103" s="12"/>
      <c r="H103" s="12"/>
      <c r="I103" s="24">
        <f t="shared" si="19"/>
        <v>1875</v>
      </c>
      <c r="J103" s="12" t="s">
        <v>58</v>
      </c>
      <c r="K103" s="12" t="str">
        <f t="shared" si="15"/>
        <v>Calidris pugnax (Linnaeus, 1758)</v>
      </c>
      <c r="L103" s="12" t="str">
        <f t="shared" si="16"/>
        <v>Animalia|Chordata|Aves|Charadriiformes|Scolopacidae|Calidris</v>
      </c>
      <c r="M103" s="12" t="s">
        <v>59</v>
      </c>
      <c r="N103" s="12" t="s">
        <v>60</v>
      </c>
      <c r="O103" s="12" t="s">
        <v>61</v>
      </c>
      <c r="P103" s="12" t="s">
        <v>381</v>
      </c>
      <c r="Q103" s="12" t="s">
        <v>405</v>
      </c>
      <c r="R103" s="12" t="s">
        <v>927</v>
      </c>
      <c r="S103" s="12" t="s">
        <v>406</v>
      </c>
      <c r="T103" s="12" t="s">
        <v>66</v>
      </c>
      <c r="U103" s="12" t="s">
        <v>407</v>
      </c>
      <c r="V103" s="12" t="s">
        <v>1171</v>
      </c>
      <c r="W103" s="12" t="s">
        <v>68</v>
      </c>
      <c r="X103" s="12">
        <v>41.9</v>
      </c>
      <c r="Y103" s="12">
        <v>12.483333</v>
      </c>
      <c r="Z103" s="14" t="s">
        <v>69</v>
      </c>
      <c r="AA103" s="12">
        <v>36625</v>
      </c>
      <c r="AB103" s="12" t="str">
        <f t="shared" si="20"/>
        <v>41.9/12.483333</v>
      </c>
      <c r="AC103" s="13" t="s">
        <v>1473</v>
      </c>
      <c r="AD103" s="25">
        <v>46054</v>
      </c>
      <c r="AE103" s="14" t="s">
        <v>70</v>
      </c>
      <c r="AF103" s="14" t="s">
        <v>71</v>
      </c>
      <c r="AG103" s="14" t="s">
        <v>72</v>
      </c>
      <c r="AH103" s="12" t="str">
        <f t="shared" si="17"/>
        <v>Europa | Italy | Lazio | Rome</v>
      </c>
      <c r="AI103" s="12" t="s">
        <v>73</v>
      </c>
      <c r="AJ103" s="12"/>
      <c r="AK103" s="12" t="s">
        <v>74</v>
      </c>
      <c r="AL103" s="12" t="str">
        <f t="shared" si="21"/>
        <v>ITA</v>
      </c>
      <c r="AM103" s="12" t="s">
        <v>75</v>
      </c>
      <c r="AN103" s="12" t="s">
        <v>153</v>
      </c>
      <c r="AO103" s="12" t="s">
        <v>57</v>
      </c>
      <c r="AP103" s="12" t="s">
        <v>77</v>
      </c>
      <c r="AQ103" s="12" t="s">
        <v>78</v>
      </c>
      <c r="AR103" s="12" t="s">
        <v>79</v>
      </c>
      <c r="AS103" s="12" t="s">
        <v>1273</v>
      </c>
      <c r="AT103" s="12" t="s">
        <v>80</v>
      </c>
      <c r="AU103" s="12" t="s">
        <v>408</v>
      </c>
      <c r="AV103" s="12">
        <v>1</v>
      </c>
      <c r="AW103" s="12">
        <v>1</v>
      </c>
      <c r="AX103" s="12" t="s">
        <v>81</v>
      </c>
      <c r="AY103" s="12" t="s">
        <v>82</v>
      </c>
      <c r="AZ103" s="12" t="s">
        <v>83</v>
      </c>
      <c r="BA103" s="12" t="s">
        <v>84</v>
      </c>
      <c r="BB103" s="12"/>
      <c r="BC103" s="27" t="s">
        <v>1691</v>
      </c>
      <c r="BD103" s="27" t="s">
        <v>1692</v>
      </c>
      <c r="BE103" s="12"/>
    </row>
    <row r="104" spans="1:57" x14ac:dyDescent="0.25">
      <c r="A104" s="12" t="s">
        <v>408</v>
      </c>
      <c r="B104" s="12" t="s">
        <v>57</v>
      </c>
      <c r="C104" s="12">
        <v>1887</v>
      </c>
      <c r="D104" s="12"/>
      <c r="E104" s="23"/>
      <c r="F104" s="12">
        <f t="shared" si="18"/>
        <v>1887</v>
      </c>
      <c r="G104" s="12"/>
      <c r="H104" s="12"/>
      <c r="I104" s="24">
        <f t="shared" si="19"/>
        <v>1887</v>
      </c>
      <c r="J104" s="12" t="s">
        <v>58</v>
      </c>
      <c r="K104" s="12" t="str">
        <f t="shared" si="15"/>
        <v>Calidris pugnax (Linnaeus, 1758)</v>
      </c>
      <c r="L104" s="12" t="str">
        <f t="shared" si="16"/>
        <v>Animalia|Chordata|Aves|Charadriiformes|Scolopacidae|Calidris</v>
      </c>
      <c r="M104" s="12" t="s">
        <v>59</v>
      </c>
      <c r="N104" s="12" t="s">
        <v>60</v>
      </c>
      <c r="O104" s="12" t="s">
        <v>61</v>
      </c>
      <c r="P104" s="12" t="s">
        <v>381</v>
      </c>
      <c r="Q104" s="12" t="s">
        <v>405</v>
      </c>
      <c r="R104" s="12" t="s">
        <v>927</v>
      </c>
      <c r="S104" s="12" t="s">
        <v>406</v>
      </c>
      <c r="T104" s="12" t="s">
        <v>66</v>
      </c>
      <c r="U104" s="12" t="s">
        <v>407</v>
      </c>
      <c r="V104" s="12"/>
      <c r="W104" s="12" t="s">
        <v>68</v>
      </c>
      <c r="X104" s="12">
        <v>41.9</v>
      </c>
      <c r="Y104" s="12">
        <v>12.483333</v>
      </c>
      <c r="Z104" s="14" t="s">
        <v>69</v>
      </c>
      <c r="AA104" s="12">
        <v>36625</v>
      </c>
      <c r="AB104" s="12" t="str">
        <f t="shared" si="20"/>
        <v>41.9/12.483333</v>
      </c>
      <c r="AC104" s="13" t="s">
        <v>1473</v>
      </c>
      <c r="AD104" s="25">
        <v>46054</v>
      </c>
      <c r="AE104" s="14" t="s">
        <v>70</v>
      </c>
      <c r="AF104" s="14" t="s">
        <v>71</v>
      </c>
      <c r="AG104" s="14" t="s">
        <v>72</v>
      </c>
      <c r="AH104" s="12" t="str">
        <f t="shared" si="17"/>
        <v>Europa | Italy | Lazio | Rome</v>
      </c>
      <c r="AI104" s="12" t="s">
        <v>73</v>
      </c>
      <c r="AJ104" s="12"/>
      <c r="AK104" s="12" t="s">
        <v>74</v>
      </c>
      <c r="AL104" s="12" t="str">
        <f t="shared" si="21"/>
        <v>ITA</v>
      </c>
      <c r="AM104" s="12" t="s">
        <v>75</v>
      </c>
      <c r="AN104" s="12" t="s">
        <v>153</v>
      </c>
      <c r="AO104" s="12" t="s">
        <v>57</v>
      </c>
      <c r="AP104" s="12" t="s">
        <v>77</v>
      </c>
      <c r="AQ104" s="12" t="s">
        <v>78</v>
      </c>
      <c r="AR104" s="12" t="s">
        <v>79</v>
      </c>
      <c r="AS104" s="12" t="s">
        <v>1274</v>
      </c>
      <c r="AT104" s="12"/>
      <c r="AU104" s="12" t="s">
        <v>409</v>
      </c>
      <c r="AV104" s="12">
        <v>1</v>
      </c>
      <c r="AW104" s="12">
        <v>1</v>
      </c>
      <c r="AX104" s="12" t="s">
        <v>81</v>
      </c>
      <c r="AY104" s="12" t="s">
        <v>82</v>
      </c>
      <c r="AZ104" s="12" t="s">
        <v>83</v>
      </c>
      <c r="BA104" s="12" t="s">
        <v>84</v>
      </c>
      <c r="BB104" s="12"/>
      <c r="BC104" s="27" t="s">
        <v>1693</v>
      </c>
      <c r="BD104" s="27" t="s">
        <v>1694</v>
      </c>
      <c r="BE104" s="12"/>
    </row>
    <row r="105" spans="1:57" x14ac:dyDescent="0.25">
      <c r="A105" s="12" t="s">
        <v>409</v>
      </c>
      <c r="B105" s="12" t="s">
        <v>57</v>
      </c>
      <c r="C105" s="12">
        <v>1875</v>
      </c>
      <c r="D105" s="12"/>
      <c r="E105" s="23"/>
      <c r="F105" s="12">
        <f t="shared" ref="F105" si="27">IFERROR(IF(C105="","",IF(C105&lt;10000,C105,YEAR(C105))),"")</f>
        <v>1875</v>
      </c>
      <c r="G105" s="12"/>
      <c r="H105" s="12"/>
      <c r="I105" s="24">
        <f t="shared" ref="I105" si="28">IF(C105="","",IF(C105&lt;10000,C105,C105))</f>
        <v>1875</v>
      </c>
      <c r="J105" s="12" t="s">
        <v>58</v>
      </c>
      <c r="K105" s="12" t="str">
        <f t="shared" si="15"/>
        <v>Calidris pugnax (Linnaeus, 1758)</v>
      </c>
      <c r="L105" s="12" t="str">
        <f t="shared" si="16"/>
        <v>Animalia|Chordata|Aves|Charadriiformes|Scolopacidae|Calidris</v>
      </c>
      <c r="M105" s="12" t="s">
        <v>59</v>
      </c>
      <c r="N105" s="12" t="s">
        <v>60</v>
      </c>
      <c r="O105" s="12" t="s">
        <v>61</v>
      </c>
      <c r="P105" s="12" t="s">
        <v>381</v>
      </c>
      <c r="Q105" s="12" t="s">
        <v>405</v>
      </c>
      <c r="R105" s="12" t="s">
        <v>927</v>
      </c>
      <c r="S105" s="12" t="s">
        <v>406</v>
      </c>
      <c r="T105" s="12" t="s">
        <v>66</v>
      </c>
      <c r="U105" s="12" t="s">
        <v>407</v>
      </c>
      <c r="V105" s="12" t="s">
        <v>1171</v>
      </c>
      <c r="W105" s="12" t="s">
        <v>68</v>
      </c>
      <c r="X105" s="12">
        <v>41.9</v>
      </c>
      <c r="Y105" s="12">
        <v>12.483333</v>
      </c>
      <c r="Z105" s="14" t="s">
        <v>69</v>
      </c>
      <c r="AA105" s="12">
        <v>36625</v>
      </c>
      <c r="AB105" s="12" t="str">
        <f t="shared" si="20"/>
        <v>41.9/12.483333</v>
      </c>
      <c r="AC105" s="13" t="s">
        <v>1473</v>
      </c>
      <c r="AD105" s="25">
        <v>46054</v>
      </c>
      <c r="AE105" s="14" t="s">
        <v>70</v>
      </c>
      <c r="AF105" s="14" t="s">
        <v>71</v>
      </c>
      <c r="AG105" s="14" t="s">
        <v>72</v>
      </c>
      <c r="AH105" s="12" t="str">
        <f t="shared" si="17"/>
        <v>Europa | Italy | Lazio | Ager Romanus</v>
      </c>
      <c r="AI105" s="12" t="s">
        <v>73</v>
      </c>
      <c r="AJ105" s="12"/>
      <c r="AK105" s="12" t="s">
        <v>74</v>
      </c>
      <c r="AL105" s="12" t="str">
        <f t="shared" si="21"/>
        <v>ITA</v>
      </c>
      <c r="AM105" s="12" t="s">
        <v>75</v>
      </c>
      <c r="AN105" s="12" t="s">
        <v>166</v>
      </c>
      <c r="AO105" s="12" t="s">
        <v>57</v>
      </c>
      <c r="AP105" s="12" t="s">
        <v>77</v>
      </c>
      <c r="AQ105" s="12" t="s">
        <v>78</v>
      </c>
      <c r="AR105" s="12" t="s">
        <v>79</v>
      </c>
      <c r="AS105" s="12" t="s">
        <v>1275</v>
      </c>
      <c r="AT105" s="12" t="s">
        <v>80</v>
      </c>
      <c r="AU105" s="12" t="s">
        <v>410</v>
      </c>
      <c r="AV105" s="12">
        <v>1</v>
      </c>
      <c r="AW105" s="12">
        <v>1</v>
      </c>
      <c r="AX105" s="12" t="s">
        <v>81</v>
      </c>
      <c r="AY105" s="12" t="s">
        <v>82</v>
      </c>
      <c r="AZ105" s="12" t="s">
        <v>83</v>
      </c>
      <c r="BA105" s="12" t="s">
        <v>84</v>
      </c>
      <c r="BB105" s="12"/>
      <c r="BC105" s="27" t="s">
        <v>1695</v>
      </c>
      <c r="BD105" s="27" t="s">
        <v>1696</v>
      </c>
      <c r="BE105" s="12"/>
    </row>
    <row r="106" spans="1:57" x14ac:dyDescent="0.25">
      <c r="A106" s="12" t="s">
        <v>410</v>
      </c>
      <c r="B106" s="12" t="s">
        <v>57</v>
      </c>
      <c r="C106" s="12">
        <v>1878</v>
      </c>
      <c r="D106" s="12"/>
      <c r="E106" s="23"/>
      <c r="F106" s="12">
        <f t="shared" si="18"/>
        <v>1878</v>
      </c>
      <c r="G106" s="12"/>
      <c r="H106" s="12"/>
      <c r="I106" s="24">
        <f t="shared" si="19"/>
        <v>1878</v>
      </c>
      <c r="J106" s="12" t="s">
        <v>412</v>
      </c>
      <c r="K106" s="12" t="str">
        <f t="shared" si="15"/>
        <v>Gallinago media (Latham, 1787)</v>
      </c>
      <c r="L106" s="12" t="str">
        <f t="shared" si="16"/>
        <v>Animalia|Chordata|Aves|Charadriiformes|Scolopacidae|Gallinago</v>
      </c>
      <c r="M106" s="12" t="s">
        <v>59</v>
      </c>
      <c r="N106" s="12" t="s">
        <v>60</v>
      </c>
      <c r="O106" s="12" t="s">
        <v>61</v>
      </c>
      <c r="P106" s="12" t="s">
        <v>381</v>
      </c>
      <c r="Q106" s="12" t="s">
        <v>405</v>
      </c>
      <c r="R106" s="12" t="s">
        <v>928</v>
      </c>
      <c r="S106" s="12" t="s">
        <v>413</v>
      </c>
      <c r="T106" s="12" t="s">
        <v>66</v>
      </c>
      <c r="U106" s="12" t="s">
        <v>414</v>
      </c>
      <c r="V106" s="12" t="s">
        <v>1474</v>
      </c>
      <c r="W106" s="12" t="s">
        <v>68</v>
      </c>
      <c r="X106" s="12">
        <v>41.869748000000001</v>
      </c>
      <c r="Y106" s="12">
        <v>12.442645000000001</v>
      </c>
      <c r="Z106" s="14" t="s">
        <v>69</v>
      </c>
      <c r="AA106" s="12">
        <v>28880</v>
      </c>
      <c r="AB106" s="12" t="str">
        <f t="shared" si="20"/>
        <v>41.869748/12.442645</v>
      </c>
      <c r="AC106" s="13" t="s">
        <v>1473</v>
      </c>
      <c r="AD106" s="25">
        <v>46054</v>
      </c>
      <c r="AE106" s="14" t="s">
        <v>70</v>
      </c>
      <c r="AF106" s="14" t="s">
        <v>71</v>
      </c>
      <c r="AG106" s="14" t="s">
        <v>72</v>
      </c>
      <c r="AH106" s="12" t="str">
        <f t="shared" si="17"/>
        <v>Europa | Italy | Lazio | Rome</v>
      </c>
      <c r="AI106" s="12" t="s">
        <v>73</v>
      </c>
      <c r="AJ106" s="12"/>
      <c r="AK106" s="12" t="s">
        <v>74</v>
      </c>
      <c r="AL106" s="12" t="str">
        <f t="shared" si="21"/>
        <v>ITA</v>
      </c>
      <c r="AM106" s="12" t="s">
        <v>75</v>
      </c>
      <c r="AN106" s="12" t="s">
        <v>153</v>
      </c>
      <c r="AO106" s="12" t="s">
        <v>57</v>
      </c>
      <c r="AP106" s="12" t="s">
        <v>77</v>
      </c>
      <c r="AQ106" s="12" t="s">
        <v>78</v>
      </c>
      <c r="AR106" s="12" t="s">
        <v>79</v>
      </c>
      <c r="AS106" s="12" t="s">
        <v>1276</v>
      </c>
      <c r="AT106" s="12"/>
      <c r="AU106" s="12" t="s">
        <v>411</v>
      </c>
      <c r="AV106" s="12">
        <v>1</v>
      </c>
      <c r="AW106" s="12">
        <v>1</v>
      </c>
      <c r="AX106" s="12" t="s">
        <v>81</v>
      </c>
      <c r="AY106" s="12" t="s">
        <v>82</v>
      </c>
      <c r="AZ106" s="12" t="s">
        <v>83</v>
      </c>
      <c r="BA106" s="12" t="s">
        <v>84</v>
      </c>
      <c r="BB106" s="12"/>
      <c r="BC106" s="27" t="s">
        <v>1697</v>
      </c>
      <c r="BD106" s="27" t="s">
        <v>1698</v>
      </c>
      <c r="BE106" s="12"/>
    </row>
    <row r="107" spans="1:57" x14ac:dyDescent="0.25">
      <c r="A107" s="12" t="s">
        <v>411</v>
      </c>
      <c r="B107" s="12" t="s">
        <v>57</v>
      </c>
      <c r="C107" s="12">
        <v>1880</v>
      </c>
      <c r="D107" s="12"/>
      <c r="E107" s="23"/>
      <c r="F107" s="12">
        <f t="shared" si="18"/>
        <v>1880</v>
      </c>
      <c r="G107" s="12"/>
      <c r="H107" s="12"/>
      <c r="I107" s="24">
        <f t="shared" si="19"/>
        <v>1880</v>
      </c>
      <c r="J107" s="12" t="s">
        <v>58</v>
      </c>
      <c r="K107" s="12" t="str">
        <f t="shared" si="15"/>
        <v>Scolopax rusticola (Linnaeus, 1758)</v>
      </c>
      <c r="L107" s="12" t="str">
        <f t="shared" si="16"/>
        <v>Animalia|Chordata|Aves|Charadriiformes|Scolopacidae|Scolopax</v>
      </c>
      <c r="M107" s="12" t="s">
        <v>59</v>
      </c>
      <c r="N107" s="12" t="s">
        <v>60</v>
      </c>
      <c r="O107" s="12" t="s">
        <v>61</v>
      </c>
      <c r="P107" s="12" t="s">
        <v>381</v>
      </c>
      <c r="Q107" s="12" t="s">
        <v>405</v>
      </c>
      <c r="R107" s="12" t="s">
        <v>929</v>
      </c>
      <c r="S107" s="12" t="s">
        <v>416</v>
      </c>
      <c r="T107" s="12" t="s">
        <v>66</v>
      </c>
      <c r="U107" s="12" t="s">
        <v>417</v>
      </c>
      <c r="V107" s="12" t="s">
        <v>1474</v>
      </c>
      <c r="W107" s="12" t="s">
        <v>68</v>
      </c>
      <c r="X107" s="12">
        <v>41.9</v>
      </c>
      <c r="Y107" s="12">
        <v>12.483333</v>
      </c>
      <c r="Z107" s="14" t="s">
        <v>69</v>
      </c>
      <c r="AA107" s="12">
        <v>36625</v>
      </c>
      <c r="AB107" s="12" t="str">
        <f t="shared" si="20"/>
        <v>41.9/12.483333</v>
      </c>
      <c r="AC107" s="13" t="s">
        <v>1473</v>
      </c>
      <c r="AD107" s="25">
        <v>46054</v>
      </c>
      <c r="AE107" s="14" t="s">
        <v>70</v>
      </c>
      <c r="AF107" s="14" t="s">
        <v>71</v>
      </c>
      <c r="AG107" s="14" t="s">
        <v>72</v>
      </c>
      <c r="AH107" s="12" t="str">
        <f t="shared" si="17"/>
        <v>Europa | Italy | Lazio | Rome</v>
      </c>
      <c r="AI107" s="12" t="s">
        <v>73</v>
      </c>
      <c r="AJ107" s="12"/>
      <c r="AK107" s="12" t="s">
        <v>74</v>
      </c>
      <c r="AL107" s="12" t="str">
        <f t="shared" si="21"/>
        <v>ITA</v>
      </c>
      <c r="AM107" s="12" t="s">
        <v>75</v>
      </c>
      <c r="AN107" s="12" t="s">
        <v>153</v>
      </c>
      <c r="AO107" s="12" t="s">
        <v>57</v>
      </c>
      <c r="AP107" s="12" t="s">
        <v>77</v>
      </c>
      <c r="AQ107" s="12" t="s">
        <v>78</v>
      </c>
      <c r="AR107" s="12" t="s">
        <v>79</v>
      </c>
      <c r="AS107" s="12" t="s">
        <v>1277</v>
      </c>
      <c r="AT107" s="12"/>
      <c r="AU107" s="12" t="s">
        <v>415</v>
      </c>
      <c r="AV107" s="12">
        <v>1</v>
      </c>
      <c r="AW107" s="12">
        <v>1</v>
      </c>
      <c r="AX107" s="12" t="s">
        <v>81</v>
      </c>
      <c r="AY107" s="12" t="s">
        <v>82</v>
      </c>
      <c r="AZ107" s="12" t="s">
        <v>83</v>
      </c>
      <c r="BA107" s="12" t="s">
        <v>84</v>
      </c>
      <c r="BB107" s="12"/>
      <c r="BC107" s="27" t="s">
        <v>1699</v>
      </c>
      <c r="BD107" s="27" t="s">
        <v>1700</v>
      </c>
      <c r="BE107" s="12"/>
    </row>
    <row r="108" spans="1:57" x14ac:dyDescent="0.25">
      <c r="A108" s="12" t="s">
        <v>415</v>
      </c>
      <c r="B108" s="12" t="s">
        <v>57</v>
      </c>
      <c r="C108" s="25">
        <v>20791</v>
      </c>
      <c r="D108" s="12">
        <f t="shared" ref="D108:D165" si="29">IFERROR(C108-DATE(YEAR(C108),1,1)+1,"")</f>
        <v>337</v>
      </c>
      <c r="E108" s="23">
        <f t="shared" si="25"/>
        <v>337</v>
      </c>
      <c r="F108" s="12">
        <f t="shared" si="18"/>
        <v>1956</v>
      </c>
      <c r="G108" s="12">
        <f t="shared" si="13"/>
        <v>12</v>
      </c>
      <c r="H108" s="12">
        <f t="shared" si="14"/>
        <v>2</v>
      </c>
      <c r="I108" s="24">
        <f t="shared" si="19"/>
        <v>20791</v>
      </c>
      <c r="J108" s="12" t="s">
        <v>58</v>
      </c>
      <c r="K108" s="12" t="str">
        <f t="shared" si="15"/>
        <v>Gallinago gallinago (Linnaeus, 1758)</v>
      </c>
      <c r="L108" s="12" t="str">
        <f t="shared" si="16"/>
        <v>Animalia|Chordata|Aves|Charadriiformes|Scolopacidae|Gallinago</v>
      </c>
      <c r="M108" s="12" t="s">
        <v>59</v>
      </c>
      <c r="N108" s="12" t="s">
        <v>60</v>
      </c>
      <c r="O108" s="12" t="s">
        <v>61</v>
      </c>
      <c r="P108" s="12" t="s">
        <v>381</v>
      </c>
      <c r="Q108" s="12" t="s">
        <v>405</v>
      </c>
      <c r="R108" s="12" t="s">
        <v>928</v>
      </c>
      <c r="S108" s="12" t="s">
        <v>419</v>
      </c>
      <c r="T108" s="12" t="s">
        <v>66</v>
      </c>
      <c r="U108" s="12" t="s">
        <v>420</v>
      </c>
      <c r="V108" s="12" t="s">
        <v>1165</v>
      </c>
      <c r="W108" s="12" t="s">
        <v>68</v>
      </c>
      <c r="X108" s="12">
        <v>41.9</v>
      </c>
      <c r="Y108" s="12">
        <v>12.483333</v>
      </c>
      <c r="Z108" s="14" t="s">
        <v>69</v>
      </c>
      <c r="AA108" s="12">
        <v>36625</v>
      </c>
      <c r="AB108" s="12" t="str">
        <f t="shared" si="20"/>
        <v>41.9/12.483333</v>
      </c>
      <c r="AC108" s="13" t="s">
        <v>1473</v>
      </c>
      <c r="AD108" s="25">
        <v>46054</v>
      </c>
      <c r="AE108" s="14" t="s">
        <v>70</v>
      </c>
      <c r="AF108" s="14" t="s">
        <v>71</v>
      </c>
      <c r="AG108" s="14" t="s">
        <v>72</v>
      </c>
      <c r="AH108" s="12" t="str">
        <f t="shared" si="17"/>
        <v>Europa | Italy | Piedmont | Borgo San Dalmazzo</v>
      </c>
      <c r="AI108" s="12" t="s">
        <v>73</v>
      </c>
      <c r="AJ108" s="12"/>
      <c r="AK108" s="12" t="s">
        <v>74</v>
      </c>
      <c r="AL108" s="12" t="str">
        <f t="shared" si="21"/>
        <v>ITA</v>
      </c>
      <c r="AM108" s="12" t="s">
        <v>90</v>
      </c>
      <c r="AN108" s="12" t="s">
        <v>160</v>
      </c>
      <c r="AO108" s="12" t="s">
        <v>57</v>
      </c>
      <c r="AP108" s="12" t="s">
        <v>77</v>
      </c>
      <c r="AQ108" s="12" t="s">
        <v>78</v>
      </c>
      <c r="AR108" s="12" t="s">
        <v>79</v>
      </c>
      <c r="AS108" s="12" t="s">
        <v>1278</v>
      </c>
      <c r="AT108" s="12" t="s">
        <v>92</v>
      </c>
      <c r="AU108" s="12" t="s">
        <v>418</v>
      </c>
      <c r="AV108" s="12">
        <v>1</v>
      </c>
      <c r="AW108" s="12">
        <v>1</v>
      </c>
      <c r="AX108" s="12" t="s">
        <v>81</v>
      </c>
      <c r="AY108" s="12" t="s">
        <v>82</v>
      </c>
      <c r="AZ108" s="12" t="s">
        <v>83</v>
      </c>
      <c r="BA108" s="12" t="s">
        <v>84</v>
      </c>
      <c r="BB108" s="12"/>
      <c r="BC108" s="27" t="s">
        <v>1701</v>
      </c>
      <c r="BD108" s="27" t="s">
        <v>1702</v>
      </c>
      <c r="BE108" s="12"/>
    </row>
    <row r="109" spans="1:57" x14ac:dyDescent="0.25">
      <c r="A109" s="12" t="s">
        <v>418</v>
      </c>
      <c r="B109" s="12" t="s">
        <v>57</v>
      </c>
      <c r="C109" s="25">
        <v>21801</v>
      </c>
      <c r="D109" s="12">
        <f t="shared" si="29"/>
        <v>251</v>
      </c>
      <c r="E109" s="23">
        <f t="shared" si="25"/>
        <v>251</v>
      </c>
      <c r="F109" s="12">
        <f t="shared" si="18"/>
        <v>1959</v>
      </c>
      <c r="G109" s="12">
        <f t="shared" si="13"/>
        <v>9</v>
      </c>
      <c r="H109" s="12">
        <f t="shared" si="14"/>
        <v>8</v>
      </c>
      <c r="I109" s="24">
        <f t="shared" si="19"/>
        <v>21801</v>
      </c>
      <c r="J109" s="12" t="s">
        <v>422</v>
      </c>
      <c r="K109" s="12" t="str">
        <f t="shared" si="15"/>
        <v>Calidris minuta (Leisler, 1812)</v>
      </c>
      <c r="L109" s="12" t="str">
        <f t="shared" si="16"/>
        <v>Animalia|Chordata|Aves|Charadriiformes|Scolopacidae|Calidris</v>
      </c>
      <c r="M109" s="12" t="s">
        <v>59</v>
      </c>
      <c r="N109" s="12" t="s">
        <v>60</v>
      </c>
      <c r="O109" s="12" t="s">
        <v>61</v>
      </c>
      <c r="P109" s="12" t="s">
        <v>381</v>
      </c>
      <c r="Q109" s="12" t="s">
        <v>405</v>
      </c>
      <c r="R109" s="12" t="s">
        <v>927</v>
      </c>
      <c r="S109" s="12" t="s">
        <v>423</v>
      </c>
      <c r="T109" s="12" t="s">
        <v>66</v>
      </c>
      <c r="U109" s="12" t="s">
        <v>424</v>
      </c>
      <c r="V109" s="12" t="s">
        <v>1165</v>
      </c>
      <c r="W109" s="12" t="s">
        <v>68</v>
      </c>
      <c r="X109" s="12">
        <v>44.33014</v>
      </c>
      <c r="Y109" s="12">
        <v>7.4859239999999998</v>
      </c>
      <c r="Z109" s="14" t="s">
        <v>69</v>
      </c>
      <c r="AA109" s="12">
        <v>1929</v>
      </c>
      <c r="AB109" s="12" t="str">
        <f t="shared" si="20"/>
        <v>44.33014/7.485924</v>
      </c>
      <c r="AC109" s="13" t="s">
        <v>1473</v>
      </c>
      <c r="AD109" s="25">
        <v>46054</v>
      </c>
      <c r="AE109" s="14" t="s">
        <v>70</v>
      </c>
      <c r="AF109" s="14" t="s">
        <v>71</v>
      </c>
      <c r="AG109" s="14" t="s">
        <v>72</v>
      </c>
      <c r="AH109" s="12" t="str">
        <f t="shared" si="17"/>
        <v>Europa | Italy | Piedmont | Borgo San Dalmazzo</v>
      </c>
      <c r="AI109" s="12" t="s">
        <v>73</v>
      </c>
      <c r="AJ109" s="12"/>
      <c r="AK109" s="12" t="s">
        <v>74</v>
      </c>
      <c r="AL109" s="12" t="str">
        <f t="shared" si="21"/>
        <v>ITA</v>
      </c>
      <c r="AM109" s="12" t="s">
        <v>90</v>
      </c>
      <c r="AN109" s="12" t="s">
        <v>160</v>
      </c>
      <c r="AO109" s="12" t="s">
        <v>57</v>
      </c>
      <c r="AP109" s="12" t="s">
        <v>77</v>
      </c>
      <c r="AQ109" s="12" t="s">
        <v>78</v>
      </c>
      <c r="AR109" s="12" t="s">
        <v>79</v>
      </c>
      <c r="AS109" s="12" t="s">
        <v>1279</v>
      </c>
      <c r="AT109" s="12" t="s">
        <v>80</v>
      </c>
      <c r="AU109" s="12" t="s">
        <v>421</v>
      </c>
      <c r="AV109" s="12">
        <v>1</v>
      </c>
      <c r="AW109" s="12">
        <v>1</v>
      </c>
      <c r="AX109" s="12" t="s">
        <v>81</v>
      </c>
      <c r="AY109" s="12" t="s">
        <v>82</v>
      </c>
      <c r="AZ109" s="12" t="s">
        <v>83</v>
      </c>
      <c r="BA109" s="12" t="s">
        <v>84</v>
      </c>
      <c r="BB109" s="12"/>
      <c r="BC109" s="27" t="s">
        <v>1703</v>
      </c>
      <c r="BD109" s="27" t="s">
        <v>1704</v>
      </c>
      <c r="BE109" s="12"/>
    </row>
    <row r="110" spans="1:57" x14ac:dyDescent="0.25">
      <c r="A110" s="12" t="s">
        <v>421</v>
      </c>
      <c r="B110" s="12" t="s">
        <v>57</v>
      </c>
      <c r="C110" s="12">
        <v>1960</v>
      </c>
      <c r="D110" s="12"/>
      <c r="E110" s="23"/>
      <c r="F110" s="12">
        <f t="shared" si="18"/>
        <v>1960</v>
      </c>
      <c r="G110" s="12"/>
      <c r="H110" s="12"/>
      <c r="I110" s="24">
        <f t="shared" si="19"/>
        <v>1960</v>
      </c>
      <c r="J110" s="12" t="s">
        <v>58</v>
      </c>
      <c r="K110" s="12" t="str">
        <f t="shared" si="15"/>
        <v>Gallinago gallinago (Linnaeus, 1758)</v>
      </c>
      <c r="L110" s="12" t="str">
        <f t="shared" si="16"/>
        <v>Animalia|Chordata|Aves|Charadriiformes|Scolopacidae|Gallinago</v>
      </c>
      <c r="M110" s="12" t="s">
        <v>59</v>
      </c>
      <c r="N110" s="12" t="s">
        <v>60</v>
      </c>
      <c r="O110" s="12" t="s">
        <v>61</v>
      </c>
      <c r="P110" s="12" t="s">
        <v>381</v>
      </c>
      <c r="Q110" s="12" t="s">
        <v>405</v>
      </c>
      <c r="R110" s="12" t="s">
        <v>928</v>
      </c>
      <c r="S110" s="12" t="s">
        <v>419</v>
      </c>
      <c r="T110" s="12" t="s">
        <v>66</v>
      </c>
      <c r="U110" s="12" t="s">
        <v>420</v>
      </c>
      <c r="V110" s="12" t="s">
        <v>1167</v>
      </c>
      <c r="W110" s="12" t="s">
        <v>68</v>
      </c>
      <c r="X110" s="12">
        <v>44.33014</v>
      </c>
      <c r="Y110" s="12">
        <v>7.4859239999999998</v>
      </c>
      <c r="Z110" s="14" t="s">
        <v>69</v>
      </c>
      <c r="AA110" s="12">
        <v>1929</v>
      </c>
      <c r="AB110" s="12" t="str">
        <f t="shared" si="20"/>
        <v>44.33014/7.485924</v>
      </c>
      <c r="AC110" s="13" t="s">
        <v>1473</v>
      </c>
      <c r="AD110" s="25">
        <v>46054</v>
      </c>
      <c r="AE110" s="14" t="s">
        <v>70</v>
      </c>
      <c r="AF110" s="14" t="s">
        <v>71</v>
      </c>
      <c r="AG110" s="14" t="s">
        <v>72</v>
      </c>
      <c r="AH110" s="12" t="str">
        <f t="shared" si="17"/>
        <v>Europa | Italy | Piedmont | Piano Quinto</v>
      </c>
      <c r="AI110" s="12" t="s">
        <v>73</v>
      </c>
      <c r="AJ110" s="12"/>
      <c r="AK110" s="12" t="s">
        <v>74</v>
      </c>
      <c r="AL110" s="12" t="str">
        <f t="shared" si="21"/>
        <v>ITA</v>
      </c>
      <c r="AM110" s="12" t="s">
        <v>90</v>
      </c>
      <c r="AN110" s="12" t="s">
        <v>687</v>
      </c>
      <c r="AO110" s="12" t="s">
        <v>57</v>
      </c>
      <c r="AP110" s="12" t="s">
        <v>77</v>
      </c>
      <c r="AQ110" s="12" t="s">
        <v>78</v>
      </c>
      <c r="AR110" s="12" t="s">
        <v>79</v>
      </c>
      <c r="AS110" s="12" t="s">
        <v>1280</v>
      </c>
      <c r="AT110" s="12"/>
      <c r="AU110" s="12" t="s">
        <v>425</v>
      </c>
      <c r="AV110" s="12">
        <v>1</v>
      </c>
      <c r="AW110" s="12">
        <v>1</v>
      </c>
      <c r="AX110" s="12" t="s">
        <v>81</v>
      </c>
      <c r="AY110" s="12" t="s">
        <v>82</v>
      </c>
      <c r="AZ110" s="12" t="s">
        <v>83</v>
      </c>
      <c r="BA110" s="12" t="s">
        <v>84</v>
      </c>
      <c r="BB110" s="12"/>
      <c r="BC110" s="27" t="s">
        <v>1705</v>
      </c>
      <c r="BD110" s="27" t="s">
        <v>1706</v>
      </c>
      <c r="BE110" s="12"/>
    </row>
    <row r="111" spans="1:57" x14ac:dyDescent="0.25">
      <c r="A111" s="12" t="s">
        <v>425</v>
      </c>
      <c r="B111" s="12" t="s">
        <v>57</v>
      </c>
      <c r="C111" s="12">
        <v>1886</v>
      </c>
      <c r="D111" s="12"/>
      <c r="E111" s="23"/>
      <c r="F111" s="12">
        <f t="shared" si="18"/>
        <v>1886</v>
      </c>
      <c r="G111" s="12"/>
      <c r="H111" s="12"/>
      <c r="I111" s="24">
        <f t="shared" si="19"/>
        <v>1886</v>
      </c>
      <c r="J111" s="12" t="s">
        <v>58</v>
      </c>
      <c r="K111" s="12" t="str">
        <f t="shared" si="15"/>
        <v>Tringa totanus (Linnaeus, 1758)</v>
      </c>
      <c r="L111" s="12" t="str">
        <f t="shared" si="16"/>
        <v>Animalia|Chordata|Aves|Charadriiformes|Scolopacidae|Tringa</v>
      </c>
      <c r="M111" s="12" t="s">
        <v>59</v>
      </c>
      <c r="N111" s="12" t="s">
        <v>60</v>
      </c>
      <c r="O111" s="12" t="s">
        <v>61</v>
      </c>
      <c r="P111" s="12" t="s">
        <v>381</v>
      </c>
      <c r="Q111" s="12" t="s">
        <v>405</v>
      </c>
      <c r="R111" s="12" t="s">
        <v>930</v>
      </c>
      <c r="S111" s="12" t="s">
        <v>427</v>
      </c>
      <c r="T111" s="12" t="s">
        <v>66</v>
      </c>
      <c r="U111" s="12" t="s">
        <v>428</v>
      </c>
      <c r="V111" s="12"/>
      <c r="W111" s="12" t="s">
        <v>68</v>
      </c>
      <c r="X111" s="12">
        <v>41.869748000000001</v>
      </c>
      <c r="Y111" s="12">
        <v>12.442645000000001</v>
      </c>
      <c r="Z111" s="14" t="s">
        <v>69</v>
      </c>
      <c r="AA111" s="12">
        <v>28880</v>
      </c>
      <c r="AB111" s="12" t="str">
        <f t="shared" si="20"/>
        <v>41.869748/12.442645</v>
      </c>
      <c r="AC111" s="13" t="s">
        <v>1473</v>
      </c>
      <c r="AD111" s="25">
        <v>46054</v>
      </c>
      <c r="AE111" s="14" t="s">
        <v>70</v>
      </c>
      <c r="AF111" s="14" t="s">
        <v>71</v>
      </c>
      <c r="AG111" s="14" t="s">
        <v>72</v>
      </c>
      <c r="AH111" s="12" t="str">
        <f t="shared" si="17"/>
        <v>Europa | Italy | Lazio | Ager Romanus</v>
      </c>
      <c r="AI111" s="12" t="s">
        <v>73</v>
      </c>
      <c r="AJ111" s="12"/>
      <c r="AK111" s="12" t="s">
        <v>74</v>
      </c>
      <c r="AL111" s="12" t="str">
        <f t="shared" si="21"/>
        <v>ITA</v>
      </c>
      <c r="AM111" s="12" t="s">
        <v>75</v>
      </c>
      <c r="AN111" s="12" t="s">
        <v>166</v>
      </c>
      <c r="AO111" s="12" t="s">
        <v>57</v>
      </c>
      <c r="AP111" s="12" t="s">
        <v>77</v>
      </c>
      <c r="AQ111" s="12" t="s">
        <v>78</v>
      </c>
      <c r="AR111" s="12" t="s">
        <v>79</v>
      </c>
      <c r="AS111" s="12" t="s">
        <v>1281</v>
      </c>
      <c r="AT111" s="12"/>
      <c r="AU111" s="12" t="s">
        <v>426</v>
      </c>
      <c r="AV111" s="12">
        <v>1</v>
      </c>
      <c r="AW111" s="12">
        <v>1</v>
      </c>
      <c r="AX111" s="12" t="s">
        <v>81</v>
      </c>
      <c r="AY111" s="12" t="s">
        <v>82</v>
      </c>
      <c r="AZ111" s="12" t="s">
        <v>83</v>
      </c>
      <c r="BA111" s="12" t="s">
        <v>84</v>
      </c>
      <c r="BB111" s="12"/>
      <c r="BC111" s="27" t="s">
        <v>1707</v>
      </c>
      <c r="BD111" s="27" t="s">
        <v>1708</v>
      </c>
      <c r="BE111" s="12"/>
    </row>
    <row r="112" spans="1:57" x14ac:dyDescent="0.25">
      <c r="A112" s="12" t="s">
        <v>426</v>
      </c>
      <c r="B112" s="12" t="s">
        <v>57</v>
      </c>
      <c r="C112" s="25">
        <v>21524</v>
      </c>
      <c r="D112" s="12">
        <f t="shared" si="29"/>
        <v>339</v>
      </c>
      <c r="E112" s="23">
        <f t="shared" si="25"/>
        <v>339</v>
      </c>
      <c r="F112" s="12">
        <f t="shared" si="18"/>
        <v>1958</v>
      </c>
      <c r="G112" s="12">
        <f t="shared" si="13"/>
        <v>12</v>
      </c>
      <c r="H112" s="12">
        <f t="shared" si="14"/>
        <v>5</v>
      </c>
      <c r="I112" s="24">
        <f t="shared" si="19"/>
        <v>21524</v>
      </c>
      <c r="J112" s="12" t="s">
        <v>58</v>
      </c>
      <c r="K112" s="12" t="str">
        <f t="shared" si="15"/>
        <v>Numenius arquata (Linnaeus, 1758)</v>
      </c>
      <c r="L112" s="12" t="str">
        <f t="shared" si="16"/>
        <v>Animalia|Chordata|Aves|Charadriiformes|Scolopacidae|Numenius</v>
      </c>
      <c r="M112" s="12" t="s">
        <v>59</v>
      </c>
      <c r="N112" s="12" t="s">
        <v>60</v>
      </c>
      <c r="O112" s="12" t="s">
        <v>61</v>
      </c>
      <c r="P112" s="12" t="s">
        <v>381</v>
      </c>
      <c r="Q112" s="12" t="s">
        <v>405</v>
      </c>
      <c r="R112" s="12" t="s">
        <v>931</v>
      </c>
      <c r="S112" s="12" t="s">
        <v>430</v>
      </c>
      <c r="T112" s="12" t="s">
        <v>66</v>
      </c>
      <c r="U112" s="12" t="s">
        <v>431</v>
      </c>
      <c r="V112" s="12" t="s">
        <v>1165</v>
      </c>
      <c r="W112" s="12" t="s">
        <v>68</v>
      </c>
      <c r="X112" s="12">
        <v>41.869748000000001</v>
      </c>
      <c r="Y112" s="12">
        <v>12.442645000000001</v>
      </c>
      <c r="Z112" s="14" t="s">
        <v>69</v>
      </c>
      <c r="AA112" s="12">
        <v>28880</v>
      </c>
      <c r="AB112" s="12" t="str">
        <f t="shared" si="20"/>
        <v>41.869748/12.442645</v>
      </c>
      <c r="AC112" s="13" t="s">
        <v>1473</v>
      </c>
      <c r="AD112" s="25">
        <v>46054</v>
      </c>
      <c r="AE112" s="14" t="s">
        <v>70</v>
      </c>
      <c r="AF112" s="14" t="s">
        <v>71</v>
      </c>
      <c r="AG112" s="14" t="s">
        <v>72</v>
      </c>
      <c r="AH112" s="12" t="str">
        <f t="shared" si="17"/>
        <v>Europa | Italy | Piedmont | Cuneo</v>
      </c>
      <c r="AI112" s="12" t="s">
        <v>73</v>
      </c>
      <c r="AJ112" s="12"/>
      <c r="AK112" s="12" t="s">
        <v>74</v>
      </c>
      <c r="AL112" s="12" t="str">
        <f t="shared" si="21"/>
        <v>ITA</v>
      </c>
      <c r="AM112" s="12" t="s">
        <v>90</v>
      </c>
      <c r="AN112" s="12" t="s">
        <v>206</v>
      </c>
      <c r="AO112" s="12" t="s">
        <v>57</v>
      </c>
      <c r="AP112" s="12" t="s">
        <v>77</v>
      </c>
      <c r="AQ112" s="12" t="s">
        <v>78</v>
      </c>
      <c r="AR112" s="12" t="s">
        <v>79</v>
      </c>
      <c r="AS112" s="12" t="s">
        <v>1282</v>
      </c>
      <c r="AT112" s="12" t="s">
        <v>92</v>
      </c>
      <c r="AU112" s="12" t="s">
        <v>429</v>
      </c>
      <c r="AV112" s="12">
        <v>1</v>
      </c>
      <c r="AW112" s="12">
        <v>1</v>
      </c>
      <c r="AX112" s="12" t="s">
        <v>81</v>
      </c>
      <c r="AY112" s="12" t="s">
        <v>82</v>
      </c>
      <c r="AZ112" s="12" t="s">
        <v>83</v>
      </c>
      <c r="BA112" s="12" t="s">
        <v>84</v>
      </c>
      <c r="BB112" s="12"/>
      <c r="BC112" s="27" t="s">
        <v>1709</v>
      </c>
      <c r="BD112" s="27" t="s">
        <v>1710</v>
      </c>
      <c r="BE112" s="12"/>
    </row>
    <row r="113" spans="1:57" x14ac:dyDescent="0.25">
      <c r="A113" s="12" t="s">
        <v>429</v>
      </c>
      <c r="B113" s="12" t="s">
        <v>57</v>
      </c>
      <c r="C113" s="12">
        <v>1886</v>
      </c>
      <c r="D113" s="12"/>
      <c r="E113" s="23"/>
      <c r="F113" s="12">
        <f t="shared" si="18"/>
        <v>1886</v>
      </c>
      <c r="G113" s="12"/>
      <c r="H113" s="12"/>
      <c r="I113" s="24">
        <f t="shared" si="19"/>
        <v>1886</v>
      </c>
      <c r="J113" s="12" t="s">
        <v>115</v>
      </c>
      <c r="K113" s="12" t="str">
        <f t="shared" si="15"/>
        <v>Tringa erythropus (Pallas, 1764)</v>
      </c>
      <c r="L113" s="12" t="str">
        <f t="shared" si="16"/>
        <v>Animalia|Chordata|Aves|Charadriiformes|Scolopacidae|Tringa</v>
      </c>
      <c r="M113" s="12" t="s">
        <v>59</v>
      </c>
      <c r="N113" s="12" t="s">
        <v>60</v>
      </c>
      <c r="O113" s="12" t="s">
        <v>61</v>
      </c>
      <c r="P113" s="12" t="s">
        <v>381</v>
      </c>
      <c r="Q113" s="12" t="s">
        <v>405</v>
      </c>
      <c r="R113" s="12" t="s">
        <v>930</v>
      </c>
      <c r="S113" s="12" t="s">
        <v>433</v>
      </c>
      <c r="T113" s="12" t="s">
        <v>66</v>
      </c>
      <c r="U113" s="12" t="s">
        <v>434</v>
      </c>
      <c r="V113" s="12" t="s">
        <v>1167</v>
      </c>
      <c r="W113" s="12" t="s">
        <v>68</v>
      </c>
      <c r="X113" s="12">
        <v>42.25</v>
      </c>
      <c r="Y113" s="12">
        <v>11.75</v>
      </c>
      <c r="Z113" s="14" t="s">
        <v>69</v>
      </c>
      <c r="AA113" s="12">
        <v>2539</v>
      </c>
      <c r="AB113" s="12" t="str">
        <f t="shared" si="20"/>
        <v>42.25/11.75</v>
      </c>
      <c r="AC113" s="13" t="s">
        <v>1473</v>
      </c>
      <c r="AD113" s="25">
        <v>46054</v>
      </c>
      <c r="AE113" s="14" t="s">
        <v>70</v>
      </c>
      <c r="AF113" s="14" t="s">
        <v>71</v>
      </c>
      <c r="AG113" s="14" t="s">
        <v>72</v>
      </c>
      <c r="AH113" s="12" t="str">
        <f t="shared" si="17"/>
        <v>Europa | Italy | Lazio | Tarquinia</v>
      </c>
      <c r="AI113" s="12" t="s">
        <v>73</v>
      </c>
      <c r="AJ113" s="12"/>
      <c r="AK113" s="12" t="s">
        <v>74</v>
      </c>
      <c r="AL113" s="12" t="str">
        <f t="shared" si="21"/>
        <v>ITA</v>
      </c>
      <c r="AM113" s="12" t="s">
        <v>75</v>
      </c>
      <c r="AN113" s="12" t="s">
        <v>273</v>
      </c>
      <c r="AO113" s="12" t="s">
        <v>57</v>
      </c>
      <c r="AP113" s="12" t="s">
        <v>77</v>
      </c>
      <c r="AQ113" s="12" t="s">
        <v>78</v>
      </c>
      <c r="AR113" s="12" t="s">
        <v>79</v>
      </c>
      <c r="AS113" s="12" t="s">
        <v>1283</v>
      </c>
      <c r="AT113" s="12"/>
      <c r="AU113" s="12" t="s">
        <v>432</v>
      </c>
      <c r="AV113" s="12">
        <v>1</v>
      </c>
      <c r="AW113" s="12">
        <v>1</v>
      </c>
      <c r="AX113" s="12" t="s">
        <v>81</v>
      </c>
      <c r="AY113" s="12" t="s">
        <v>82</v>
      </c>
      <c r="AZ113" s="12" t="s">
        <v>83</v>
      </c>
      <c r="BA113" s="12" t="s">
        <v>84</v>
      </c>
      <c r="BB113" s="12"/>
      <c r="BC113" s="27" t="s">
        <v>1711</v>
      </c>
      <c r="BD113" s="27" t="s">
        <v>1712</v>
      </c>
      <c r="BE113" s="12"/>
    </row>
    <row r="114" spans="1:57" x14ac:dyDescent="0.25">
      <c r="A114" s="12" t="s">
        <v>432</v>
      </c>
      <c r="B114" s="12" t="s">
        <v>57</v>
      </c>
      <c r="C114" s="12">
        <v>1887</v>
      </c>
      <c r="D114" s="12"/>
      <c r="E114" s="23"/>
      <c r="F114" s="12">
        <f t="shared" si="18"/>
        <v>1887</v>
      </c>
      <c r="G114" s="12"/>
      <c r="H114" s="12"/>
      <c r="I114" s="24">
        <f t="shared" si="19"/>
        <v>1887</v>
      </c>
      <c r="J114" s="12" t="s">
        <v>58</v>
      </c>
      <c r="K114" s="12" t="str">
        <f t="shared" si="15"/>
        <v>Tringa glareola   (Linnaeus, 1758)</v>
      </c>
      <c r="L114" s="12" t="str">
        <f t="shared" si="16"/>
        <v>Animalia|Chordata|Aves|Charadriiformes|Scolopacidae|Tringa</v>
      </c>
      <c r="M114" s="12" t="s">
        <v>59</v>
      </c>
      <c r="N114" s="12" t="s">
        <v>60</v>
      </c>
      <c r="O114" s="12" t="s">
        <v>61</v>
      </c>
      <c r="P114" s="12" t="s">
        <v>381</v>
      </c>
      <c r="Q114" s="12" t="s">
        <v>405</v>
      </c>
      <c r="R114" s="12" t="s">
        <v>930</v>
      </c>
      <c r="S114" s="12" t="s">
        <v>436</v>
      </c>
      <c r="T114" s="12" t="s">
        <v>66</v>
      </c>
      <c r="U114" s="12" t="s">
        <v>437</v>
      </c>
      <c r="V114" s="12" t="s">
        <v>1167</v>
      </c>
      <c r="W114" s="12" t="s">
        <v>68</v>
      </c>
      <c r="X114" s="12">
        <v>41.869748000000001</v>
      </c>
      <c r="Y114" s="12">
        <v>12.442645000000001</v>
      </c>
      <c r="Z114" s="14" t="s">
        <v>69</v>
      </c>
      <c r="AA114" s="12">
        <v>28880</v>
      </c>
      <c r="AB114" s="12" t="str">
        <f t="shared" si="20"/>
        <v>41.869748/12.442645</v>
      </c>
      <c r="AC114" s="13" t="s">
        <v>1473</v>
      </c>
      <c r="AD114" s="25">
        <v>46054</v>
      </c>
      <c r="AE114" s="14" t="s">
        <v>70</v>
      </c>
      <c r="AF114" s="14" t="s">
        <v>71</v>
      </c>
      <c r="AG114" s="14" t="s">
        <v>72</v>
      </c>
      <c r="AH114" s="12" t="str">
        <f t="shared" si="17"/>
        <v>Europa | Italy | Lazio | Ager Romanus</v>
      </c>
      <c r="AI114" s="12" t="s">
        <v>73</v>
      </c>
      <c r="AJ114" s="12"/>
      <c r="AK114" s="12" t="s">
        <v>74</v>
      </c>
      <c r="AL114" s="12" t="str">
        <f t="shared" si="21"/>
        <v>ITA</v>
      </c>
      <c r="AM114" s="12" t="s">
        <v>75</v>
      </c>
      <c r="AN114" s="12" t="s">
        <v>166</v>
      </c>
      <c r="AO114" s="12" t="s">
        <v>57</v>
      </c>
      <c r="AP114" s="12" t="s">
        <v>77</v>
      </c>
      <c r="AQ114" s="12" t="s">
        <v>78</v>
      </c>
      <c r="AR114" s="12" t="s">
        <v>79</v>
      </c>
      <c r="AS114" s="12" t="s">
        <v>1284</v>
      </c>
      <c r="AT114" s="12"/>
      <c r="AU114" s="12" t="s">
        <v>435</v>
      </c>
      <c r="AV114" s="12">
        <v>1</v>
      </c>
      <c r="AW114" s="12">
        <v>1</v>
      </c>
      <c r="AX114" s="12" t="s">
        <v>81</v>
      </c>
      <c r="AY114" s="12" t="s">
        <v>82</v>
      </c>
      <c r="AZ114" s="12" t="s">
        <v>83</v>
      </c>
      <c r="BA114" s="12" t="s">
        <v>84</v>
      </c>
      <c r="BB114" s="12"/>
      <c r="BC114" s="27" t="s">
        <v>1713</v>
      </c>
      <c r="BD114" s="27" t="s">
        <v>1714</v>
      </c>
      <c r="BE114" s="12"/>
    </row>
    <row r="115" spans="1:57" x14ac:dyDescent="0.25">
      <c r="A115" s="12" t="s">
        <v>435</v>
      </c>
      <c r="B115" s="12" t="s">
        <v>57</v>
      </c>
      <c r="C115" s="25">
        <v>19229</v>
      </c>
      <c r="D115" s="12">
        <f t="shared" si="29"/>
        <v>236</v>
      </c>
      <c r="E115" s="23">
        <f t="shared" si="25"/>
        <v>236</v>
      </c>
      <c r="F115" s="12">
        <f t="shared" si="18"/>
        <v>1952</v>
      </c>
      <c r="G115" s="12">
        <f t="shared" si="13"/>
        <v>8</v>
      </c>
      <c r="H115" s="12">
        <f t="shared" si="14"/>
        <v>23</v>
      </c>
      <c r="I115" s="24">
        <f t="shared" si="19"/>
        <v>19229</v>
      </c>
      <c r="J115" s="12" t="s">
        <v>58</v>
      </c>
      <c r="K115" s="12" t="str">
        <f t="shared" si="15"/>
        <v>Actitis hypoleucos (Linnaeus, 1758)</v>
      </c>
      <c r="L115" s="12" t="str">
        <f t="shared" si="16"/>
        <v>Animalia|Chordata|Aves|Charadriiformes|Scolopacidae|Actitis</v>
      </c>
      <c r="M115" s="12" t="s">
        <v>59</v>
      </c>
      <c r="N115" s="12" t="s">
        <v>60</v>
      </c>
      <c r="O115" s="12" t="s">
        <v>61</v>
      </c>
      <c r="P115" s="12" t="s">
        <v>381</v>
      </c>
      <c r="Q115" s="12" t="s">
        <v>405</v>
      </c>
      <c r="R115" s="12" t="s">
        <v>932</v>
      </c>
      <c r="S115" s="12" t="s">
        <v>439</v>
      </c>
      <c r="T115" s="12" t="s">
        <v>66</v>
      </c>
      <c r="U115" s="12" t="s">
        <v>440</v>
      </c>
      <c r="V115" s="12" t="s">
        <v>1168</v>
      </c>
      <c r="W115" s="12" t="s">
        <v>68</v>
      </c>
      <c r="X115" s="12">
        <v>45.276687199999998</v>
      </c>
      <c r="Y115" s="12">
        <v>12.159341400000001</v>
      </c>
      <c r="Z115" s="14" t="s">
        <v>69</v>
      </c>
      <c r="AA115" s="12">
        <v>1000</v>
      </c>
      <c r="AB115" s="12" t="str">
        <f t="shared" si="20"/>
        <v>45.2766872/12.1593414</v>
      </c>
      <c r="AC115" s="13" t="s">
        <v>1473</v>
      </c>
      <c r="AD115" s="25">
        <v>46054</v>
      </c>
      <c r="AE115" s="14" t="s">
        <v>70</v>
      </c>
      <c r="AF115" s="14" t="s">
        <v>71</v>
      </c>
      <c r="AG115" s="14" t="s">
        <v>72</v>
      </c>
      <c r="AH115" s="12" t="str">
        <f t="shared" si="17"/>
        <v>Europa | Italy | Veneto | Valle Millecampi</v>
      </c>
      <c r="AI115" s="12" t="s">
        <v>73</v>
      </c>
      <c r="AJ115" s="12"/>
      <c r="AK115" s="12" t="s">
        <v>74</v>
      </c>
      <c r="AL115" s="12" t="str">
        <f t="shared" si="21"/>
        <v>ITA</v>
      </c>
      <c r="AM115" s="12" t="s">
        <v>150</v>
      </c>
      <c r="AN115" s="12" t="s">
        <v>313</v>
      </c>
      <c r="AO115" s="12" t="s">
        <v>57</v>
      </c>
      <c r="AP115" s="12" t="s">
        <v>77</v>
      </c>
      <c r="AQ115" s="12" t="s">
        <v>78</v>
      </c>
      <c r="AR115" s="12" t="s">
        <v>79</v>
      </c>
      <c r="AS115" s="12" t="s">
        <v>1285</v>
      </c>
      <c r="AT115" s="12" t="s">
        <v>80</v>
      </c>
      <c r="AU115" s="12" t="s">
        <v>438</v>
      </c>
      <c r="AV115" s="12">
        <v>1</v>
      </c>
      <c r="AW115" s="12">
        <v>1</v>
      </c>
      <c r="AX115" s="12" t="s">
        <v>81</v>
      </c>
      <c r="AY115" s="12" t="s">
        <v>82</v>
      </c>
      <c r="AZ115" s="12" t="s">
        <v>83</v>
      </c>
      <c r="BA115" s="12" t="s">
        <v>84</v>
      </c>
      <c r="BB115" s="12"/>
      <c r="BC115" s="27" t="s">
        <v>1715</v>
      </c>
      <c r="BD115" s="27" t="s">
        <v>1716</v>
      </c>
      <c r="BE115" s="12"/>
    </row>
    <row r="116" spans="1:57" x14ac:dyDescent="0.25">
      <c r="A116" s="12" t="s">
        <v>438</v>
      </c>
      <c r="B116" s="12" t="s">
        <v>57</v>
      </c>
      <c r="C116" s="12">
        <v>1900</v>
      </c>
      <c r="D116" s="12"/>
      <c r="E116" s="23"/>
      <c r="F116" s="12">
        <f t="shared" si="18"/>
        <v>1900</v>
      </c>
      <c r="G116" s="12"/>
      <c r="H116" s="12"/>
      <c r="I116" s="24">
        <f t="shared" si="19"/>
        <v>1900</v>
      </c>
      <c r="J116" s="12" t="s">
        <v>58</v>
      </c>
      <c r="K116" s="12" t="str">
        <f t="shared" si="15"/>
        <v>Numenius arquata (Linnaeus, 1758)</v>
      </c>
      <c r="L116" s="12" t="str">
        <f t="shared" si="16"/>
        <v>Animalia|Chordata|Aves|Charadriiformes|Scolopacidae|Numenius</v>
      </c>
      <c r="M116" s="12" t="s">
        <v>59</v>
      </c>
      <c r="N116" s="12" t="s">
        <v>60</v>
      </c>
      <c r="O116" s="12" t="s">
        <v>61</v>
      </c>
      <c r="P116" s="12" t="s">
        <v>381</v>
      </c>
      <c r="Q116" s="12" t="s">
        <v>405</v>
      </c>
      <c r="R116" s="12" t="s">
        <v>931</v>
      </c>
      <c r="S116" s="12" t="s">
        <v>430</v>
      </c>
      <c r="T116" s="12" t="s">
        <v>66</v>
      </c>
      <c r="U116" s="12" t="s">
        <v>431</v>
      </c>
      <c r="V116" s="12" t="s">
        <v>1167</v>
      </c>
      <c r="W116" s="12" t="s">
        <v>68</v>
      </c>
      <c r="X116" s="12">
        <v>41.9</v>
      </c>
      <c r="Y116" s="12">
        <v>12.483333</v>
      </c>
      <c r="Z116" s="14" t="s">
        <v>69</v>
      </c>
      <c r="AA116" s="12">
        <v>4941</v>
      </c>
      <c r="AB116" s="12" t="str">
        <f t="shared" si="20"/>
        <v>41.9/12.483333</v>
      </c>
      <c r="AC116" s="13" t="s">
        <v>1473</v>
      </c>
      <c r="AD116" s="25">
        <v>46054</v>
      </c>
      <c r="AE116" s="14" t="s">
        <v>70</v>
      </c>
      <c r="AF116" s="14" t="s">
        <v>71</v>
      </c>
      <c r="AG116" s="14" t="s">
        <v>72</v>
      </c>
      <c r="AH116" s="12" t="str">
        <f t="shared" si="17"/>
        <v>Europa | Italy | Lazio | Rome</v>
      </c>
      <c r="AI116" s="12" t="s">
        <v>73</v>
      </c>
      <c r="AJ116" s="12"/>
      <c r="AK116" s="12" t="s">
        <v>74</v>
      </c>
      <c r="AL116" s="12" t="str">
        <f t="shared" si="21"/>
        <v>ITA</v>
      </c>
      <c r="AM116" s="12" t="s">
        <v>75</v>
      </c>
      <c r="AN116" s="12" t="s">
        <v>153</v>
      </c>
      <c r="AO116" s="12" t="s">
        <v>57</v>
      </c>
      <c r="AP116" s="12" t="s">
        <v>77</v>
      </c>
      <c r="AQ116" s="12" t="s">
        <v>78</v>
      </c>
      <c r="AR116" s="12" t="s">
        <v>79</v>
      </c>
      <c r="AS116" s="12" t="s">
        <v>1286</v>
      </c>
      <c r="AT116" s="12"/>
      <c r="AU116" s="12" t="s">
        <v>441</v>
      </c>
      <c r="AV116" s="12">
        <v>1</v>
      </c>
      <c r="AW116" s="12">
        <v>1</v>
      </c>
      <c r="AX116" s="12" t="s">
        <v>81</v>
      </c>
      <c r="AY116" s="12" t="s">
        <v>82</v>
      </c>
      <c r="AZ116" s="12" t="s">
        <v>83</v>
      </c>
      <c r="BA116" s="12" t="s">
        <v>84</v>
      </c>
      <c r="BB116" s="12"/>
      <c r="BC116" s="27" t="s">
        <v>1717</v>
      </c>
      <c r="BD116" s="27" t="s">
        <v>1718</v>
      </c>
      <c r="BE116" s="12"/>
    </row>
    <row r="117" spans="1:57" x14ac:dyDescent="0.25">
      <c r="A117" s="12" t="s">
        <v>441</v>
      </c>
      <c r="B117" s="12" t="s">
        <v>57</v>
      </c>
      <c r="C117" s="25">
        <v>28579</v>
      </c>
      <c r="D117" s="12">
        <f t="shared" si="29"/>
        <v>89</v>
      </c>
      <c r="E117" s="23">
        <f t="shared" si="25"/>
        <v>89</v>
      </c>
      <c r="F117" s="12">
        <f t="shared" si="18"/>
        <v>1978</v>
      </c>
      <c r="G117" s="12">
        <f t="shared" si="13"/>
        <v>3</v>
      </c>
      <c r="H117" s="12">
        <f t="shared" si="14"/>
        <v>30</v>
      </c>
      <c r="I117" s="24">
        <f t="shared" si="19"/>
        <v>28579</v>
      </c>
      <c r="J117" s="12" t="s">
        <v>58</v>
      </c>
      <c r="K117" s="12" t="str">
        <f t="shared" si="15"/>
        <v>Limosa limosa (Linnaeus, 1758)</v>
      </c>
      <c r="L117" s="12" t="str">
        <f t="shared" si="16"/>
        <v>Animalia|Chordata|Aves|Charadriiformes|Scolopacidae|Limosa</v>
      </c>
      <c r="M117" s="12" t="s">
        <v>59</v>
      </c>
      <c r="N117" s="12" t="s">
        <v>60</v>
      </c>
      <c r="O117" s="12" t="s">
        <v>61</v>
      </c>
      <c r="P117" s="12" t="s">
        <v>381</v>
      </c>
      <c r="Q117" s="12" t="s">
        <v>405</v>
      </c>
      <c r="R117" s="12" t="s">
        <v>933</v>
      </c>
      <c r="S117" s="12" t="s">
        <v>443</v>
      </c>
      <c r="T117" s="12" t="s">
        <v>66</v>
      </c>
      <c r="U117" s="12" t="s">
        <v>444</v>
      </c>
      <c r="V117" s="12" t="s">
        <v>1167</v>
      </c>
      <c r="W117" s="12" t="s">
        <v>68</v>
      </c>
      <c r="X117" s="12">
        <v>42.25</v>
      </c>
      <c r="Y117" s="12">
        <v>11.75</v>
      </c>
      <c r="Z117" s="14" t="s">
        <v>69</v>
      </c>
      <c r="AA117" s="12">
        <v>2539</v>
      </c>
      <c r="AB117" s="12" t="str">
        <f t="shared" si="20"/>
        <v>42.25/11.75</v>
      </c>
      <c r="AC117" s="13" t="s">
        <v>1473</v>
      </c>
      <c r="AD117" s="25">
        <v>46054</v>
      </c>
      <c r="AE117" s="14" t="s">
        <v>70</v>
      </c>
      <c r="AF117" s="14" t="s">
        <v>71</v>
      </c>
      <c r="AG117" s="14" t="s">
        <v>72</v>
      </c>
      <c r="AH117" s="12" t="str">
        <f t="shared" si="17"/>
        <v>Europa | Italy | Lazio | Tarquinia</v>
      </c>
      <c r="AI117" s="12" t="s">
        <v>73</v>
      </c>
      <c r="AJ117" s="12"/>
      <c r="AK117" s="12" t="s">
        <v>74</v>
      </c>
      <c r="AL117" s="12" t="str">
        <f t="shared" si="21"/>
        <v>ITA</v>
      </c>
      <c r="AM117" s="12" t="s">
        <v>75</v>
      </c>
      <c r="AN117" s="12" t="s">
        <v>273</v>
      </c>
      <c r="AO117" s="12" t="s">
        <v>57</v>
      </c>
      <c r="AP117" s="12" t="s">
        <v>77</v>
      </c>
      <c r="AQ117" s="12" t="s">
        <v>78</v>
      </c>
      <c r="AR117" s="12" t="s">
        <v>79</v>
      </c>
      <c r="AS117" s="12" t="s">
        <v>1287</v>
      </c>
      <c r="AT117" s="12" t="s">
        <v>80</v>
      </c>
      <c r="AU117" s="12" t="s">
        <v>442</v>
      </c>
      <c r="AV117" s="12">
        <v>1</v>
      </c>
      <c r="AW117" s="12">
        <v>1</v>
      </c>
      <c r="AX117" s="12" t="s">
        <v>81</v>
      </c>
      <c r="AY117" s="12" t="s">
        <v>82</v>
      </c>
      <c r="AZ117" s="12" t="s">
        <v>83</v>
      </c>
      <c r="BA117" s="12" t="s">
        <v>84</v>
      </c>
      <c r="BB117" s="12"/>
      <c r="BC117" s="27" t="s">
        <v>1719</v>
      </c>
      <c r="BD117" s="27" t="s">
        <v>1720</v>
      </c>
      <c r="BE117" s="12"/>
    </row>
    <row r="118" spans="1:57" x14ac:dyDescent="0.25">
      <c r="A118" s="12" t="s">
        <v>442</v>
      </c>
      <c r="B118" s="12" t="s">
        <v>57</v>
      </c>
      <c r="C118" s="12">
        <v>1887</v>
      </c>
      <c r="D118" s="12"/>
      <c r="E118" s="23"/>
      <c r="F118" s="12">
        <f t="shared" si="18"/>
        <v>1887</v>
      </c>
      <c r="G118" s="12"/>
      <c r="H118" s="12"/>
      <c r="I118" s="24">
        <f t="shared" si="19"/>
        <v>1887</v>
      </c>
      <c r="J118" s="12" t="s">
        <v>446</v>
      </c>
      <c r="K118" s="12" t="str">
        <f t="shared" si="15"/>
        <v>Tringa nebularia (Gunnerus, 1767)</v>
      </c>
      <c r="L118" s="12" t="str">
        <f t="shared" si="16"/>
        <v>Animalia|Chordata|Aves|Charadriiformes|Scolopacidae|Tringa</v>
      </c>
      <c r="M118" s="12" t="s">
        <v>59</v>
      </c>
      <c r="N118" s="12" t="s">
        <v>60</v>
      </c>
      <c r="O118" s="12" t="s">
        <v>61</v>
      </c>
      <c r="P118" s="12" t="s">
        <v>381</v>
      </c>
      <c r="Q118" s="12" t="s">
        <v>405</v>
      </c>
      <c r="R118" s="12" t="s">
        <v>930</v>
      </c>
      <c r="S118" s="12" t="s">
        <v>447</v>
      </c>
      <c r="T118" s="12" t="s">
        <v>66</v>
      </c>
      <c r="U118" s="12" t="s">
        <v>448</v>
      </c>
      <c r="V118" s="12" t="s">
        <v>1167</v>
      </c>
      <c r="W118" s="12" t="s">
        <v>68</v>
      </c>
      <c r="X118" s="12">
        <v>41.869748000000001</v>
      </c>
      <c r="Y118" s="12">
        <v>12.442645000000001</v>
      </c>
      <c r="Z118" s="14" t="s">
        <v>69</v>
      </c>
      <c r="AA118" s="12">
        <v>28880</v>
      </c>
      <c r="AB118" s="12" t="str">
        <f t="shared" si="20"/>
        <v>41.869748/12.442645</v>
      </c>
      <c r="AC118" s="13" t="s">
        <v>1473</v>
      </c>
      <c r="AD118" s="25">
        <v>46054</v>
      </c>
      <c r="AE118" s="14" t="s">
        <v>70</v>
      </c>
      <c r="AF118" s="14" t="s">
        <v>71</v>
      </c>
      <c r="AG118" s="14" t="s">
        <v>72</v>
      </c>
      <c r="AH118" s="12" t="str">
        <f t="shared" si="17"/>
        <v>Europa | Italy | Lazio | Ager Romanus</v>
      </c>
      <c r="AI118" s="12" t="s">
        <v>73</v>
      </c>
      <c r="AJ118" s="12"/>
      <c r="AK118" s="12" t="s">
        <v>74</v>
      </c>
      <c r="AL118" s="12" t="str">
        <f t="shared" si="21"/>
        <v>ITA</v>
      </c>
      <c r="AM118" s="12" t="s">
        <v>75</v>
      </c>
      <c r="AN118" s="12" t="s">
        <v>166</v>
      </c>
      <c r="AO118" s="12" t="s">
        <v>57</v>
      </c>
      <c r="AP118" s="12" t="s">
        <v>77</v>
      </c>
      <c r="AQ118" s="12" t="s">
        <v>78</v>
      </c>
      <c r="AR118" s="12" t="s">
        <v>79</v>
      </c>
      <c r="AS118" s="12" t="s">
        <v>1288</v>
      </c>
      <c r="AT118" s="12"/>
      <c r="AU118" s="12" t="s">
        <v>445</v>
      </c>
      <c r="AV118" s="12">
        <v>1</v>
      </c>
      <c r="AW118" s="12">
        <v>1</v>
      </c>
      <c r="AX118" s="12" t="s">
        <v>81</v>
      </c>
      <c r="AY118" s="12" t="s">
        <v>82</v>
      </c>
      <c r="AZ118" s="12" t="s">
        <v>83</v>
      </c>
      <c r="BA118" s="12" t="s">
        <v>84</v>
      </c>
      <c r="BB118" s="12"/>
      <c r="BC118" s="27" t="s">
        <v>1721</v>
      </c>
      <c r="BD118" s="27" t="s">
        <v>1722</v>
      </c>
      <c r="BE118" s="12"/>
    </row>
    <row r="119" spans="1:57" x14ac:dyDescent="0.25">
      <c r="A119" s="12" t="s">
        <v>445</v>
      </c>
      <c r="B119" s="12" t="s">
        <v>57</v>
      </c>
      <c r="C119" s="25">
        <v>21368</v>
      </c>
      <c r="D119" s="12">
        <f t="shared" si="29"/>
        <v>183</v>
      </c>
      <c r="E119" s="23">
        <f t="shared" si="25"/>
        <v>183</v>
      </c>
      <c r="F119" s="12">
        <f t="shared" si="18"/>
        <v>1958</v>
      </c>
      <c r="G119" s="12">
        <f t="shared" si="13"/>
        <v>7</v>
      </c>
      <c r="H119" s="12">
        <f t="shared" si="14"/>
        <v>2</v>
      </c>
      <c r="I119" s="24">
        <f t="shared" si="19"/>
        <v>21368</v>
      </c>
      <c r="J119" s="12" t="s">
        <v>58</v>
      </c>
      <c r="K119" s="12" t="str">
        <f t="shared" si="15"/>
        <v>Accipiter nisus (Linnaeus, 1758)</v>
      </c>
      <c r="L119" s="12" t="str">
        <f t="shared" si="16"/>
        <v>Animalia|Chordata|Aves|Accipitriformes|Accipitridae|Accipiter</v>
      </c>
      <c r="M119" s="12" t="s">
        <v>59</v>
      </c>
      <c r="N119" s="12" t="s">
        <v>60</v>
      </c>
      <c r="O119" s="12" t="s">
        <v>61</v>
      </c>
      <c r="P119" s="12" t="s">
        <v>189</v>
      </c>
      <c r="Q119" s="12" t="s">
        <v>190</v>
      </c>
      <c r="R119" s="12" t="s">
        <v>894</v>
      </c>
      <c r="S119" s="12" t="s">
        <v>209</v>
      </c>
      <c r="T119" s="12" t="s">
        <v>66</v>
      </c>
      <c r="U119" s="12" t="s">
        <v>210</v>
      </c>
      <c r="V119" s="12" t="s">
        <v>1165</v>
      </c>
      <c r="W119" s="12" t="s">
        <v>68</v>
      </c>
      <c r="X119" s="12">
        <v>44.200369000000002</v>
      </c>
      <c r="Y119" s="12">
        <v>7.5717309999999998</v>
      </c>
      <c r="Z119" s="14" t="s">
        <v>69</v>
      </c>
      <c r="AA119" s="12" t="s">
        <v>1472</v>
      </c>
      <c r="AB119" s="12" t="str">
        <f t="shared" si="20"/>
        <v>44.200369/7.571731</v>
      </c>
      <c r="AC119" s="13" t="s">
        <v>1473</v>
      </c>
      <c r="AD119" s="25">
        <v>46054</v>
      </c>
      <c r="AE119" s="14" t="s">
        <v>70</v>
      </c>
      <c r="AF119" s="14" t="s">
        <v>71</v>
      </c>
      <c r="AG119" s="14" t="s">
        <v>72</v>
      </c>
      <c r="AH119" s="12" t="str">
        <f t="shared" si="17"/>
        <v>Europa | Italy | Piedmont | Limone Piemonte</v>
      </c>
      <c r="AI119" s="12" t="s">
        <v>73</v>
      </c>
      <c r="AJ119" s="12"/>
      <c r="AK119" s="12" t="s">
        <v>74</v>
      </c>
      <c r="AL119" s="12" t="str">
        <f t="shared" si="21"/>
        <v>ITA</v>
      </c>
      <c r="AM119" s="12" t="s">
        <v>90</v>
      </c>
      <c r="AN119" s="12" t="s">
        <v>91</v>
      </c>
      <c r="AO119" s="12" t="s">
        <v>57</v>
      </c>
      <c r="AP119" s="12" t="s">
        <v>77</v>
      </c>
      <c r="AQ119" s="12" t="s">
        <v>78</v>
      </c>
      <c r="AR119" s="12" t="s">
        <v>79</v>
      </c>
      <c r="AS119" s="12" t="s">
        <v>1289</v>
      </c>
      <c r="AT119" s="12"/>
      <c r="AU119" s="12" t="s">
        <v>449</v>
      </c>
      <c r="AV119" s="12">
        <v>1</v>
      </c>
      <c r="AW119" s="12">
        <v>1</v>
      </c>
      <c r="AX119" s="12" t="s">
        <v>81</v>
      </c>
      <c r="AY119" s="12" t="s">
        <v>82</v>
      </c>
      <c r="AZ119" s="12" t="s">
        <v>83</v>
      </c>
      <c r="BA119" s="12" t="s">
        <v>450</v>
      </c>
      <c r="BB119" s="12"/>
      <c r="BC119" s="27" t="s">
        <v>1723</v>
      </c>
      <c r="BD119" s="27" t="s">
        <v>1724</v>
      </c>
      <c r="BE119" s="12"/>
    </row>
    <row r="120" spans="1:57" x14ac:dyDescent="0.25">
      <c r="A120" s="12" t="s">
        <v>449</v>
      </c>
      <c r="B120" s="12" t="s">
        <v>57</v>
      </c>
      <c r="C120" s="25">
        <v>22102</v>
      </c>
      <c r="D120" s="12">
        <f t="shared" si="29"/>
        <v>187</v>
      </c>
      <c r="E120" s="23">
        <f t="shared" si="25"/>
        <v>187</v>
      </c>
      <c r="F120" s="12">
        <f t="shared" si="18"/>
        <v>1960</v>
      </c>
      <c r="G120" s="12">
        <f t="shared" si="13"/>
        <v>7</v>
      </c>
      <c r="H120" s="12">
        <f t="shared" si="14"/>
        <v>5</v>
      </c>
      <c r="I120" s="24">
        <f t="shared" si="19"/>
        <v>22102</v>
      </c>
      <c r="J120" s="12" t="s">
        <v>58</v>
      </c>
      <c r="K120" s="12" t="str">
        <f t="shared" si="15"/>
        <v>Accipiter nisus (Linnaeus, 1758)</v>
      </c>
      <c r="L120" s="12" t="str">
        <f t="shared" si="16"/>
        <v>Animalia|Chordata|Aves|Accipitriformes|Accipitridae|Accipiter</v>
      </c>
      <c r="M120" s="12" t="s">
        <v>59</v>
      </c>
      <c r="N120" s="12" t="s">
        <v>60</v>
      </c>
      <c r="O120" s="12" t="s">
        <v>61</v>
      </c>
      <c r="P120" s="12" t="s">
        <v>189</v>
      </c>
      <c r="Q120" s="12" t="s">
        <v>190</v>
      </c>
      <c r="R120" s="12" t="s">
        <v>894</v>
      </c>
      <c r="S120" s="12" t="s">
        <v>209</v>
      </c>
      <c r="T120" s="12" t="s">
        <v>66</v>
      </c>
      <c r="U120" s="12" t="s">
        <v>210</v>
      </c>
      <c r="V120" s="12" t="s">
        <v>1165</v>
      </c>
      <c r="W120" s="12" t="s">
        <v>68</v>
      </c>
      <c r="X120" s="12">
        <v>44.200369000000002</v>
      </c>
      <c r="Y120" s="12">
        <v>7.5717309999999998</v>
      </c>
      <c r="Z120" s="14" t="s">
        <v>69</v>
      </c>
      <c r="AA120" s="12">
        <v>1470</v>
      </c>
      <c r="AB120" s="12" t="str">
        <f t="shared" si="20"/>
        <v>44.200369/7.571731</v>
      </c>
      <c r="AC120" s="13" t="s">
        <v>1473</v>
      </c>
      <c r="AD120" s="25">
        <v>46054</v>
      </c>
      <c r="AE120" s="14" t="s">
        <v>70</v>
      </c>
      <c r="AF120" s="14" t="s">
        <v>71</v>
      </c>
      <c r="AG120" s="14" t="s">
        <v>72</v>
      </c>
      <c r="AH120" s="12" t="str">
        <f t="shared" si="17"/>
        <v>Europa | Italy | Piedmont | Valdieri</v>
      </c>
      <c r="AI120" s="12" t="s">
        <v>73</v>
      </c>
      <c r="AJ120" s="12"/>
      <c r="AK120" s="12" t="s">
        <v>74</v>
      </c>
      <c r="AL120" s="12" t="str">
        <f t="shared" si="21"/>
        <v>ITA</v>
      </c>
      <c r="AM120" s="12" t="s">
        <v>90</v>
      </c>
      <c r="AN120" s="12" t="s">
        <v>452</v>
      </c>
      <c r="AO120" s="12" t="s">
        <v>57</v>
      </c>
      <c r="AP120" s="12" t="s">
        <v>77</v>
      </c>
      <c r="AQ120" s="12" t="s">
        <v>78</v>
      </c>
      <c r="AR120" s="12" t="s">
        <v>79</v>
      </c>
      <c r="AS120" s="12" t="s">
        <v>1290</v>
      </c>
      <c r="AT120" s="12" t="s">
        <v>92</v>
      </c>
      <c r="AU120" s="12" t="s">
        <v>451</v>
      </c>
      <c r="AV120" s="12">
        <v>1</v>
      </c>
      <c r="AW120" s="12">
        <v>1</v>
      </c>
      <c r="AX120" s="12" t="s">
        <v>81</v>
      </c>
      <c r="AY120" s="12" t="s">
        <v>82</v>
      </c>
      <c r="AZ120" s="12" t="s">
        <v>83</v>
      </c>
      <c r="BA120" s="12" t="s">
        <v>84</v>
      </c>
      <c r="BB120" s="12"/>
      <c r="BC120" s="27" t="s">
        <v>1723</v>
      </c>
      <c r="BD120" s="27" t="s">
        <v>1724</v>
      </c>
      <c r="BE120" s="12"/>
    </row>
    <row r="121" spans="1:57" x14ac:dyDescent="0.25">
      <c r="A121" s="12" t="s">
        <v>451</v>
      </c>
      <c r="B121" s="12" t="s">
        <v>57</v>
      </c>
      <c r="C121" s="25">
        <v>21890</v>
      </c>
      <c r="D121" s="12">
        <f t="shared" si="29"/>
        <v>340</v>
      </c>
      <c r="E121" s="23">
        <f t="shared" si="25"/>
        <v>340</v>
      </c>
      <c r="F121" s="12">
        <f t="shared" si="18"/>
        <v>1959</v>
      </c>
      <c r="G121" s="12">
        <f t="shared" si="13"/>
        <v>12</v>
      </c>
      <c r="H121" s="12">
        <f t="shared" si="14"/>
        <v>6</v>
      </c>
      <c r="I121" s="24">
        <f t="shared" si="19"/>
        <v>21890</v>
      </c>
      <c r="J121" s="12" t="s">
        <v>58</v>
      </c>
      <c r="K121" s="12" t="str">
        <f t="shared" si="15"/>
        <v>Accipiter nisus (Linnaeus, 1758)</v>
      </c>
      <c r="L121" s="12" t="str">
        <f t="shared" si="16"/>
        <v>Animalia|Chordata|Aves|Accipitriformes|Accipitridae|Accipiter</v>
      </c>
      <c r="M121" s="12" t="s">
        <v>59</v>
      </c>
      <c r="N121" s="12" t="s">
        <v>60</v>
      </c>
      <c r="O121" s="12" t="s">
        <v>61</v>
      </c>
      <c r="P121" s="12" t="s">
        <v>189</v>
      </c>
      <c r="Q121" s="12" t="s">
        <v>190</v>
      </c>
      <c r="R121" s="12" t="s">
        <v>894</v>
      </c>
      <c r="S121" s="12" t="s">
        <v>209</v>
      </c>
      <c r="T121" s="12" t="s">
        <v>66</v>
      </c>
      <c r="U121" s="12" t="s">
        <v>210</v>
      </c>
      <c r="V121" s="12" t="s">
        <v>1165</v>
      </c>
      <c r="W121" s="12" t="s">
        <v>68</v>
      </c>
      <c r="X121" s="12">
        <v>44.278171</v>
      </c>
      <c r="Y121" s="12">
        <v>7.39588</v>
      </c>
      <c r="Z121" s="14" t="s">
        <v>69</v>
      </c>
      <c r="AA121" s="12">
        <v>1374</v>
      </c>
      <c r="AB121" s="12" t="str">
        <f t="shared" si="20"/>
        <v>44.278171/7.39588</v>
      </c>
      <c r="AC121" s="13" t="s">
        <v>1473</v>
      </c>
      <c r="AD121" s="25">
        <v>46054</v>
      </c>
      <c r="AE121" s="14" t="s">
        <v>70</v>
      </c>
      <c r="AF121" s="14" t="s">
        <v>71</v>
      </c>
      <c r="AG121" s="14" t="s">
        <v>72</v>
      </c>
      <c r="AH121" s="12" t="str">
        <f t="shared" si="17"/>
        <v>Europa | Italy | Piedmont | Borgo San Dalmazzo</v>
      </c>
      <c r="AI121" s="12" t="s">
        <v>73</v>
      </c>
      <c r="AJ121" s="12"/>
      <c r="AK121" s="12" t="s">
        <v>74</v>
      </c>
      <c r="AL121" s="12" t="str">
        <f t="shared" si="21"/>
        <v>ITA</v>
      </c>
      <c r="AM121" s="12" t="s">
        <v>90</v>
      </c>
      <c r="AN121" s="12" t="s">
        <v>160</v>
      </c>
      <c r="AO121" s="12" t="s">
        <v>57</v>
      </c>
      <c r="AP121" s="12" t="s">
        <v>77</v>
      </c>
      <c r="AQ121" s="12" t="s">
        <v>78</v>
      </c>
      <c r="AR121" s="12" t="s">
        <v>79</v>
      </c>
      <c r="AS121" s="12" t="s">
        <v>1291</v>
      </c>
      <c r="AT121" s="12"/>
      <c r="AU121" s="12" t="s">
        <v>453</v>
      </c>
      <c r="AV121" s="12">
        <v>1</v>
      </c>
      <c r="AW121" s="12">
        <v>1</v>
      </c>
      <c r="AX121" s="12" t="s">
        <v>81</v>
      </c>
      <c r="AY121" s="12" t="s">
        <v>82</v>
      </c>
      <c r="AZ121" s="12" t="s">
        <v>83</v>
      </c>
      <c r="BA121" s="12" t="s">
        <v>84</v>
      </c>
      <c r="BB121" s="12"/>
      <c r="BC121" s="27" t="s">
        <v>1725</v>
      </c>
      <c r="BD121" s="27" t="s">
        <v>1726</v>
      </c>
      <c r="BE121" s="12"/>
    </row>
    <row r="122" spans="1:57" x14ac:dyDescent="0.25">
      <c r="A122" s="12" t="s">
        <v>453</v>
      </c>
      <c r="B122" s="12" t="s">
        <v>57</v>
      </c>
      <c r="C122" s="12">
        <v>1895</v>
      </c>
      <c r="D122" s="12"/>
      <c r="E122" s="23"/>
      <c r="F122" s="12">
        <f t="shared" si="18"/>
        <v>1895</v>
      </c>
      <c r="G122" s="12"/>
      <c r="H122" s="12"/>
      <c r="I122" s="24">
        <f t="shared" si="19"/>
        <v>1895</v>
      </c>
      <c r="J122" s="12" t="s">
        <v>58</v>
      </c>
      <c r="K122" s="12" t="str">
        <f t="shared" si="15"/>
        <v>Accipiter nisus (Linnaeus, 1758)</v>
      </c>
      <c r="L122" s="12" t="str">
        <f t="shared" si="16"/>
        <v>Animalia|Chordata|Aves|Accipitriformes|Accipitridae|Accipiter</v>
      </c>
      <c r="M122" s="12" t="s">
        <v>59</v>
      </c>
      <c r="N122" s="12" t="s">
        <v>60</v>
      </c>
      <c r="O122" s="12" t="s">
        <v>61</v>
      </c>
      <c r="P122" s="12" t="s">
        <v>189</v>
      </c>
      <c r="Q122" s="12" t="s">
        <v>190</v>
      </c>
      <c r="R122" s="12" t="s">
        <v>894</v>
      </c>
      <c r="S122" s="12" t="s">
        <v>209</v>
      </c>
      <c r="T122" s="12" t="s">
        <v>66</v>
      </c>
      <c r="U122" s="12" t="s">
        <v>210</v>
      </c>
      <c r="V122" s="12"/>
      <c r="W122" s="12" t="s">
        <v>68</v>
      </c>
      <c r="X122" s="12">
        <v>44.33014</v>
      </c>
      <c r="Y122" s="12">
        <v>7.4859239999999998</v>
      </c>
      <c r="Z122" s="14" t="s">
        <v>69</v>
      </c>
      <c r="AA122" s="12">
        <v>1929</v>
      </c>
      <c r="AB122" s="12" t="str">
        <f t="shared" si="20"/>
        <v>44.33014/7.485924</v>
      </c>
      <c r="AC122" s="13" t="s">
        <v>1473</v>
      </c>
      <c r="AD122" s="25">
        <v>46054</v>
      </c>
      <c r="AE122" s="14" t="s">
        <v>70</v>
      </c>
      <c r="AF122" s="14" t="s">
        <v>71</v>
      </c>
      <c r="AG122" s="14" t="s">
        <v>72</v>
      </c>
      <c r="AH122" s="12" t="str">
        <f t="shared" si="17"/>
        <v>Europa | Italy | Lazio | Fiumicino</v>
      </c>
      <c r="AI122" s="12" t="s">
        <v>73</v>
      </c>
      <c r="AJ122" s="12"/>
      <c r="AK122" s="12" t="s">
        <v>74</v>
      </c>
      <c r="AL122" s="12" t="str">
        <f t="shared" si="21"/>
        <v>ITA</v>
      </c>
      <c r="AM122" s="12" t="s">
        <v>75</v>
      </c>
      <c r="AN122" s="12" t="s">
        <v>386</v>
      </c>
      <c r="AO122" s="12" t="s">
        <v>57</v>
      </c>
      <c r="AP122" s="12" t="s">
        <v>77</v>
      </c>
      <c r="AQ122" s="12" t="s">
        <v>78</v>
      </c>
      <c r="AR122" s="12" t="s">
        <v>79</v>
      </c>
      <c r="AS122" s="12" t="s">
        <v>1292</v>
      </c>
      <c r="AT122" s="12" t="s">
        <v>80</v>
      </c>
      <c r="AU122" s="12" t="s">
        <v>454</v>
      </c>
      <c r="AV122" s="12">
        <v>1</v>
      </c>
      <c r="AW122" s="12">
        <v>1</v>
      </c>
      <c r="AX122" s="12" t="s">
        <v>81</v>
      </c>
      <c r="AY122" s="12" t="s">
        <v>82</v>
      </c>
      <c r="AZ122" s="12" t="s">
        <v>83</v>
      </c>
      <c r="BA122" s="12" t="s">
        <v>84</v>
      </c>
      <c r="BB122" s="12"/>
      <c r="BC122" s="27" t="s">
        <v>1727</v>
      </c>
      <c r="BD122" s="27" t="s">
        <v>1728</v>
      </c>
      <c r="BE122" s="12"/>
    </row>
    <row r="123" spans="1:57" x14ac:dyDescent="0.25">
      <c r="A123" s="12" t="s">
        <v>454</v>
      </c>
      <c r="B123" s="12" t="s">
        <v>57</v>
      </c>
      <c r="C123" s="25">
        <v>21672</v>
      </c>
      <c r="D123" s="12">
        <f t="shared" si="29"/>
        <v>122</v>
      </c>
      <c r="E123" s="23">
        <f t="shared" si="25"/>
        <v>122</v>
      </c>
      <c r="F123" s="12">
        <f t="shared" si="18"/>
        <v>1959</v>
      </c>
      <c r="G123" s="12">
        <f t="shared" si="13"/>
        <v>5</v>
      </c>
      <c r="H123" s="12">
        <f t="shared" si="14"/>
        <v>2</v>
      </c>
      <c r="I123" s="24">
        <f t="shared" si="19"/>
        <v>21672</v>
      </c>
      <c r="J123" s="12" t="s">
        <v>58</v>
      </c>
      <c r="K123" s="12" t="str">
        <f t="shared" si="15"/>
        <v>Falco subbuteo (Linnaeus, 1758)</v>
      </c>
      <c r="L123" s="12" t="str">
        <f t="shared" si="16"/>
        <v>Animalia|Chordata|Aves|Falconiformes|Falconidae|Falco</v>
      </c>
      <c r="M123" s="12" t="s">
        <v>59</v>
      </c>
      <c r="N123" s="12" t="s">
        <v>60</v>
      </c>
      <c r="O123" s="12" t="s">
        <v>61</v>
      </c>
      <c r="P123" s="12" t="s">
        <v>202</v>
      </c>
      <c r="Q123" s="12" t="s">
        <v>203</v>
      </c>
      <c r="R123" s="12" t="s">
        <v>893</v>
      </c>
      <c r="S123" s="12" t="s">
        <v>456</v>
      </c>
      <c r="T123" s="12" t="s">
        <v>66</v>
      </c>
      <c r="U123" s="12" t="s">
        <v>457</v>
      </c>
      <c r="V123" s="12" t="s">
        <v>1165</v>
      </c>
      <c r="W123" s="12" t="s">
        <v>68</v>
      </c>
      <c r="X123" s="12">
        <v>41.777932999999997</v>
      </c>
      <c r="Y123" s="12">
        <v>12.297191</v>
      </c>
      <c r="Z123" s="14" t="s">
        <v>69</v>
      </c>
      <c r="AA123" s="12">
        <v>7066</v>
      </c>
      <c r="AB123" s="12" t="str">
        <f t="shared" si="20"/>
        <v>41.777933/12.297191</v>
      </c>
      <c r="AC123" s="13" t="s">
        <v>1473</v>
      </c>
      <c r="AD123" s="25">
        <v>46054</v>
      </c>
      <c r="AE123" s="14" t="s">
        <v>70</v>
      </c>
      <c r="AF123" s="14" t="s">
        <v>71</v>
      </c>
      <c r="AG123" s="14" t="s">
        <v>72</v>
      </c>
      <c r="AH123" s="12" t="str">
        <f t="shared" si="17"/>
        <v>Europa | Zannone | Italy | Lazio | Zannone Island</v>
      </c>
      <c r="AI123" s="12" t="s">
        <v>73</v>
      </c>
      <c r="AJ123" s="12" t="s">
        <v>1486</v>
      </c>
      <c r="AK123" s="12" t="s">
        <v>74</v>
      </c>
      <c r="AL123" s="12" t="str">
        <f t="shared" si="21"/>
        <v>ITA</v>
      </c>
      <c r="AM123" s="12" t="s">
        <v>75</v>
      </c>
      <c r="AN123" s="12" t="s">
        <v>458</v>
      </c>
      <c r="AO123" s="12" t="s">
        <v>57</v>
      </c>
      <c r="AP123" s="12" t="s">
        <v>77</v>
      </c>
      <c r="AQ123" s="12" t="s">
        <v>78</v>
      </c>
      <c r="AR123" s="12" t="s">
        <v>79</v>
      </c>
      <c r="AS123" s="12" t="s">
        <v>1293</v>
      </c>
      <c r="AT123" s="12" t="s">
        <v>80</v>
      </c>
      <c r="AU123" s="12" t="s">
        <v>455</v>
      </c>
      <c r="AV123" s="12">
        <v>1</v>
      </c>
      <c r="AW123" s="12">
        <v>1</v>
      </c>
      <c r="AX123" s="12" t="s">
        <v>81</v>
      </c>
      <c r="AY123" s="12" t="s">
        <v>82</v>
      </c>
      <c r="AZ123" s="12" t="s">
        <v>83</v>
      </c>
      <c r="BA123" s="12" t="s">
        <v>93</v>
      </c>
      <c r="BB123" s="12"/>
      <c r="BC123" s="27" t="s">
        <v>1729</v>
      </c>
      <c r="BD123" s="27" t="s">
        <v>1730</v>
      </c>
      <c r="BE123" s="12"/>
    </row>
    <row r="124" spans="1:57" x14ac:dyDescent="0.25">
      <c r="A124" s="12" t="s">
        <v>455</v>
      </c>
      <c r="B124" s="12" t="s">
        <v>57</v>
      </c>
      <c r="C124" s="25">
        <v>22179</v>
      </c>
      <c r="D124" s="12">
        <f t="shared" si="29"/>
        <v>264</v>
      </c>
      <c r="E124" s="23">
        <f t="shared" si="25"/>
        <v>264</v>
      </c>
      <c r="F124" s="12">
        <f t="shared" si="18"/>
        <v>1960</v>
      </c>
      <c r="G124" s="12">
        <f t="shared" si="13"/>
        <v>9</v>
      </c>
      <c r="H124" s="12">
        <f t="shared" si="14"/>
        <v>20</v>
      </c>
      <c r="I124" s="24">
        <f t="shared" si="19"/>
        <v>22179</v>
      </c>
      <c r="J124" s="12" t="s">
        <v>58</v>
      </c>
      <c r="K124" s="12" t="str">
        <f t="shared" si="15"/>
        <v>Falco subbuteo (Linnaeus, 1758)</v>
      </c>
      <c r="L124" s="12" t="str">
        <f t="shared" si="16"/>
        <v>Animalia|Chordata|Aves|Falconiformes|Falconidae|Falco</v>
      </c>
      <c r="M124" s="12" t="s">
        <v>59</v>
      </c>
      <c r="N124" s="12" t="s">
        <v>60</v>
      </c>
      <c r="O124" s="12" t="s">
        <v>61</v>
      </c>
      <c r="P124" s="12" t="s">
        <v>202</v>
      </c>
      <c r="Q124" s="12" t="s">
        <v>203</v>
      </c>
      <c r="R124" s="12" t="s">
        <v>893</v>
      </c>
      <c r="S124" s="12" t="s">
        <v>456</v>
      </c>
      <c r="T124" s="12" t="s">
        <v>66</v>
      </c>
      <c r="U124" s="12" t="s">
        <v>457</v>
      </c>
      <c r="V124" s="12"/>
      <c r="W124" s="12" t="s">
        <v>68</v>
      </c>
      <c r="X124" s="12">
        <v>44.200369000000002</v>
      </c>
      <c r="Y124" s="12">
        <v>7.5717309999999998</v>
      </c>
      <c r="Z124" s="14" t="s">
        <v>69</v>
      </c>
      <c r="AA124" s="12">
        <v>834</v>
      </c>
      <c r="AB124" s="12" t="str">
        <f t="shared" si="20"/>
        <v>44.200369/7.571731</v>
      </c>
      <c r="AC124" s="13" t="s">
        <v>1473</v>
      </c>
      <c r="AD124" s="25">
        <v>46054</v>
      </c>
      <c r="AE124" s="14" t="s">
        <v>70</v>
      </c>
      <c r="AF124" s="14" t="s">
        <v>71</v>
      </c>
      <c r="AG124" s="14" t="s">
        <v>72</v>
      </c>
      <c r="AH124" s="12" t="str">
        <f t="shared" si="17"/>
        <v>Europa | Italy | Piedmont | Limone Piemonte</v>
      </c>
      <c r="AI124" s="12" t="s">
        <v>73</v>
      </c>
      <c r="AJ124" s="12"/>
      <c r="AK124" s="12" t="s">
        <v>74</v>
      </c>
      <c r="AL124" s="12" t="str">
        <f t="shared" si="21"/>
        <v>ITA</v>
      </c>
      <c r="AM124" s="12" t="s">
        <v>90</v>
      </c>
      <c r="AN124" s="12" t="s">
        <v>91</v>
      </c>
      <c r="AO124" s="12" t="s">
        <v>57</v>
      </c>
      <c r="AP124" s="12" t="s">
        <v>77</v>
      </c>
      <c r="AQ124" s="12" t="s">
        <v>78</v>
      </c>
      <c r="AR124" s="12" t="s">
        <v>79</v>
      </c>
      <c r="AS124" s="12" t="s">
        <v>1294</v>
      </c>
      <c r="AT124" s="12" t="s">
        <v>80</v>
      </c>
      <c r="AU124" s="12" t="s">
        <v>459</v>
      </c>
      <c r="AV124" s="12">
        <v>1</v>
      </c>
      <c r="AW124" s="12">
        <v>1</v>
      </c>
      <c r="AX124" s="12" t="s">
        <v>81</v>
      </c>
      <c r="AY124" s="12" t="s">
        <v>82</v>
      </c>
      <c r="AZ124" s="12" t="s">
        <v>83</v>
      </c>
      <c r="BA124" s="12" t="s">
        <v>93</v>
      </c>
      <c r="BB124" s="12"/>
      <c r="BC124" s="27" t="s">
        <v>1731</v>
      </c>
      <c r="BD124" s="27" t="s">
        <v>1732</v>
      </c>
      <c r="BE124" s="12"/>
    </row>
    <row r="125" spans="1:57" x14ac:dyDescent="0.25">
      <c r="A125" s="12" t="s">
        <v>459</v>
      </c>
      <c r="B125" s="12" t="s">
        <v>57</v>
      </c>
      <c r="C125" s="12">
        <v>1901</v>
      </c>
      <c r="D125" s="12"/>
      <c r="E125" s="23"/>
      <c r="F125" s="12">
        <f t="shared" si="18"/>
        <v>1901</v>
      </c>
      <c r="G125" s="12"/>
      <c r="H125" s="12"/>
      <c r="I125" s="24">
        <f t="shared" si="19"/>
        <v>1901</v>
      </c>
      <c r="J125" s="12" t="s">
        <v>58</v>
      </c>
      <c r="K125" s="12" t="str">
        <f t="shared" si="15"/>
        <v>Falco subbuteo (Linnaeus, 1758)</v>
      </c>
      <c r="L125" s="12" t="str">
        <f t="shared" si="16"/>
        <v>Animalia|Chordata|Aves|Falconiformes|Falconidae|Falco</v>
      </c>
      <c r="M125" s="12" t="s">
        <v>59</v>
      </c>
      <c r="N125" s="12" t="s">
        <v>60</v>
      </c>
      <c r="O125" s="12" t="s">
        <v>61</v>
      </c>
      <c r="P125" s="12" t="s">
        <v>202</v>
      </c>
      <c r="Q125" s="12" t="s">
        <v>203</v>
      </c>
      <c r="R125" s="12" t="s">
        <v>893</v>
      </c>
      <c r="S125" s="12" t="s">
        <v>456</v>
      </c>
      <c r="T125" s="12" t="s">
        <v>66</v>
      </c>
      <c r="U125" s="12" t="s">
        <v>457</v>
      </c>
      <c r="V125" s="12"/>
      <c r="W125" s="12" t="s">
        <v>68</v>
      </c>
      <c r="X125" s="12">
        <v>41.9</v>
      </c>
      <c r="Y125" s="12">
        <v>12.483333</v>
      </c>
      <c r="Z125" s="14" t="s">
        <v>69</v>
      </c>
      <c r="AA125" s="12">
        <v>1470</v>
      </c>
      <c r="AB125" s="12" t="str">
        <f t="shared" si="20"/>
        <v>41.9/12.483333</v>
      </c>
      <c r="AC125" s="13" t="s">
        <v>1473</v>
      </c>
      <c r="AD125" s="25">
        <v>46054</v>
      </c>
      <c r="AE125" s="14" t="s">
        <v>70</v>
      </c>
      <c r="AF125" s="14" t="s">
        <v>71</v>
      </c>
      <c r="AG125" s="14" t="s">
        <v>72</v>
      </c>
      <c r="AH125" s="12" t="str">
        <f t="shared" si="17"/>
        <v>Europa | Italy | Lazio | Rome</v>
      </c>
      <c r="AI125" s="12" t="s">
        <v>73</v>
      </c>
      <c r="AJ125" s="12"/>
      <c r="AK125" s="12" t="s">
        <v>74</v>
      </c>
      <c r="AL125" s="12" t="str">
        <f t="shared" si="21"/>
        <v>ITA</v>
      </c>
      <c r="AM125" s="12" t="s">
        <v>75</v>
      </c>
      <c r="AN125" s="12" t="s">
        <v>153</v>
      </c>
      <c r="AO125" s="12" t="s">
        <v>57</v>
      </c>
      <c r="AP125" s="12" t="s">
        <v>77</v>
      </c>
      <c r="AQ125" s="12" t="s">
        <v>78</v>
      </c>
      <c r="AR125" s="12" t="s">
        <v>79</v>
      </c>
      <c r="AS125" s="12" t="s">
        <v>1295</v>
      </c>
      <c r="AT125" s="12"/>
      <c r="AU125" s="12" t="s">
        <v>460</v>
      </c>
      <c r="AV125" s="12">
        <v>1</v>
      </c>
      <c r="AW125" s="12">
        <v>1</v>
      </c>
      <c r="AX125" s="12" t="s">
        <v>81</v>
      </c>
      <c r="AY125" s="12" t="s">
        <v>82</v>
      </c>
      <c r="AZ125" s="12" t="s">
        <v>83</v>
      </c>
      <c r="BA125" s="12" t="s">
        <v>84</v>
      </c>
      <c r="BB125" s="12"/>
      <c r="BC125" s="27" t="s">
        <v>1733</v>
      </c>
      <c r="BD125" s="27" t="s">
        <v>1734</v>
      </c>
      <c r="BE125" s="12"/>
    </row>
    <row r="126" spans="1:57" x14ac:dyDescent="0.25">
      <c r="A126" s="12" t="s">
        <v>460</v>
      </c>
      <c r="B126" s="12" t="s">
        <v>57</v>
      </c>
      <c r="C126" s="25">
        <v>21306</v>
      </c>
      <c r="D126" s="12">
        <f t="shared" si="29"/>
        <v>121</v>
      </c>
      <c r="E126" s="23">
        <f t="shared" si="25"/>
        <v>121</v>
      </c>
      <c r="F126" s="12">
        <f t="shared" si="18"/>
        <v>1958</v>
      </c>
      <c r="G126" s="12">
        <f t="shared" si="13"/>
        <v>5</v>
      </c>
      <c r="H126" s="12">
        <f t="shared" si="14"/>
        <v>1</v>
      </c>
      <c r="I126" s="24">
        <f t="shared" si="19"/>
        <v>21306</v>
      </c>
      <c r="J126" s="12" t="s">
        <v>462</v>
      </c>
      <c r="K126" s="12" t="str">
        <f t="shared" si="15"/>
        <v>Falco naumanni (Fleischer, 1818)</v>
      </c>
      <c r="L126" s="12" t="str">
        <f t="shared" si="16"/>
        <v>Animalia|Chordata|Aves|Falconiformes|Falconidae|Falco</v>
      </c>
      <c r="M126" s="12" t="s">
        <v>59</v>
      </c>
      <c r="N126" s="12" t="s">
        <v>60</v>
      </c>
      <c r="O126" s="12" t="s">
        <v>61</v>
      </c>
      <c r="P126" s="12" t="s">
        <v>202</v>
      </c>
      <c r="Q126" s="12" t="s">
        <v>203</v>
      </c>
      <c r="R126" s="12" t="s">
        <v>893</v>
      </c>
      <c r="S126" s="12" t="s">
        <v>463</v>
      </c>
      <c r="T126" s="12" t="s">
        <v>66</v>
      </c>
      <c r="U126" s="12" t="s">
        <v>464</v>
      </c>
      <c r="V126" s="12"/>
      <c r="W126" s="12" t="s">
        <v>68</v>
      </c>
      <c r="X126" s="12">
        <v>41.9</v>
      </c>
      <c r="Y126" s="12">
        <v>12.483333</v>
      </c>
      <c r="Z126" s="14" t="s">
        <v>69</v>
      </c>
      <c r="AA126" s="12">
        <v>36625</v>
      </c>
      <c r="AB126" s="12" t="str">
        <f t="shared" si="20"/>
        <v>41.9/12.483333</v>
      </c>
      <c r="AC126" s="13" t="s">
        <v>1473</v>
      </c>
      <c r="AD126" s="25">
        <v>46054</v>
      </c>
      <c r="AE126" s="14" t="s">
        <v>70</v>
      </c>
      <c r="AF126" s="14" t="s">
        <v>71</v>
      </c>
      <c r="AG126" s="14" t="s">
        <v>72</v>
      </c>
      <c r="AH126" s="12" t="str">
        <f t="shared" si="17"/>
        <v>Europa | Zannone | Italy | Lazio | Zannone Island</v>
      </c>
      <c r="AI126" s="12" t="s">
        <v>73</v>
      </c>
      <c r="AJ126" s="12" t="s">
        <v>1486</v>
      </c>
      <c r="AK126" s="12" t="s">
        <v>74</v>
      </c>
      <c r="AL126" s="12" t="str">
        <f t="shared" si="21"/>
        <v>ITA</v>
      </c>
      <c r="AM126" s="12" t="s">
        <v>75</v>
      </c>
      <c r="AN126" s="12" t="s">
        <v>458</v>
      </c>
      <c r="AO126" s="12" t="s">
        <v>57</v>
      </c>
      <c r="AP126" s="12" t="s">
        <v>77</v>
      </c>
      <c r="AQ126" s="12" t="s">
        <v>78</v>
      </c>
      <c r="AR126" s="12" t="s">
        <v>79</v>
      </c>
      <c r="AS126" s="12" t="s">
        <v>1296</v>
      </c>
      <c r="AT126" s="12" t="s">
        <v>80</v>
      </c>
      <c r="AU126" s="12" t="s">
        <v>461</v>
      </c>
      <c r="AV126" s="12">
        <v>1</v>
      </c>
      <c r="AW126" s="12">
        <v>1</v>
      </c>
      <c r="AX126" s="12" t="s">
        <v>81</v>
      </c>
      <c r="AY126" s="12" t="s">
        <v>82</v>
      </c>
      <c r="AZ126" s="12" t="s">
        <v>83</v>
      </c>
      <c r="BA126" s="12" t="s">
        <v>84</v>
      </c>
      <c r="BB126" s="12"/>
      <c r="BC126" s="27" t="s">
        <v>1735</v>
      </c>
      <c r="BD126" s="27" t="s">
        <v>1736</v>
      </c>
      <c r="BE126" s="12"/>
    </row>
    <row r="127" spans="1:57" x14ac:dyDescent="0.25">
      <c r="A127" s="12" t="s">
        <v>461</v>
      </c>
      <c r="B127" s="12" t="s">
        <v>57</v>
      </c>
      <c r="C127" s="25">
        <v>22583</v>
      </c>
      <c r="D127" s="12">
        <f t="shared" si="29"/>
        <v>302</v>
      </c>
      <c r="E127" s="23">
        <f t="shared" si="25"/>
        <v>302</v>
      </c>
      <c r="F127" s="12">
        <f t="shared" si="18"/>
        <v>1961</v>
      </c>
      <c r="G127" s="12">
        <f t="shared" si="13"/>
        <v>10</v>
      </c>
      <c r="H127" s="12">
        <f t="shared" si="14"/>
        <v>29</v>
      </c>
      <c r="I127" s="24">
        <f t="shared" si="19"/>
        <v>22583</v>
      </c>
      <c r="J127" s="12" t="s">
        <v>466</v>
      </c>
      <c r="K127" s="12" t="str">
        <f t="shared" si="15"/>
        <v>Lagopus muta (Montin, 1781)</v>
      </c>
      <c r="L127" s="12" t="str">
        <f t="shared" si="16"/>
        <v>Animalia|Chordata|Aves|Galliformes|Phasianidae|Lagopus</v>
      </c>
      <c r="M127" s="12" t="s">
        <v>59</v>
      </c>
      <c r="N127" s="12" t="s">
        <v>60</v>
      </c>
      <c r="O127" s="12" t="s">
        <v>61</v>
      </c>
      <c r="P127" s="12" t="s">
        <v>299</v>
      </c>
      <c r="Q127" s="12" t="s">
        <v>300</v>
      </c>
      <c r="R127" s="12" t="s">
        <v>934</v>
      </c>
      <c r="S127" s="12" t="s">
        <v>467</v>
      </c>
      <c r="T127" s="12" t="s">
        <v>66</v>
      </c>
      <c r="U127" s="12" t="s">
        <v>468</v>
      </c>
      <c r="V127" s="12" t="s">
        <v>1165</v>
      </c>
      <c r="W127" s="12" t="s">
        <v>68</v>
      </c>
      <c r="X127" s="12">
        <v>40.970559000000002</v>
      </c>
      <c r="Y127" s="12">
        <v>13.054792000000001</v>
      </c>
      <c r="Z127" s="14" t="s">
        <v>69</v>
      </c>
      <c r="AA127" s="12">
        <v>834</v>
      </c>
      <c r="AB127" s="12" t="str">
        <f t="shared" si="20"/>
        <v>40.970559/13.054792</v>
      </c>
      <c r="AC127" s="13" t="s">
        <v>1473</v>
      </c>
      <c r="AD127" s="25">
        <v>46054</v>
      </c>
      <c r="AE127" s="14" t="s">
        <v>70</v>
      </c>
      <c r="AF127" s="14" t="s">
        <v>71</v>
      </c>
      <c r="AG127" s="14" t="s">
        <v>72</v>
      </c>
      <c r="AH127" s="12" t="str">
        <f t="shared" si="17"/>
        <v>Europa | Italy | Piedmont | Palanfrè</v>
      </c>
      <c r="AI127" s="12" t="s">
        <v>73</v>
      </c>
      <c r="AJ127" s="12"/>
      <c r="AK127" s="12" t="s">
        <v>74</v>
      </c>
      <c r="AL127" s="12" t="str">
        <f t="shared" si="21"/>
        <v>ITA</v>
      </c>
      <c r="AM127" s="12" t="s">
        <v>90</v>
      </c>
      <c r="AN127" s="12" t="s">
        <v>469</v>
      </c>
      <c r="AO127" s="12" t="s">
        <v>57</v>
      </c>
      <c r="AP127" s="12" t="s">
        <v>77</v>
      </c>
      <c r="AQ127" s="12" t="s">
        <v>78</v>
      </c>
      <c r="AR127" s="12" t="s">
        <v>79</v>
      </c>
      <c r="AS127" s="12" t="s">
        <v>1297</v>
      </c>
      <c r="AT127" s="12" t="s">
        <v>80</v>
      </c>
      <c r="AU127" s="12" t="s">
        <v>465</v>
      </c>
      <c r="AV127" s="12">
        <v>1</v>
      </c>
      <c r="AW127" s="12">
        <v>1</v>
      </c>
      <c r="AX127" s="12" t="s">
        <v>81</v>
      </c>
      <c r="AY127" s="12" t="s">
        <v>82</v>
      </c>
      <c r="AZ127" s="12" t="s">
        <v>83</v>
      </c>
      <c r="BA127" s="12" t="s">
        <v>84</v>
      </c>
      <c r="BB127" s="12"/>
      <c r="BC127" s="27" t="s">
        <v>1737</v>
      </c>
      <c r="BD127" s="27" t="s">
        <v>1738</v>
      </c>
      <c r="BE127" s="12"/>
    </row>
    <row r="128" spans="1:57" x14ac:dyDescent="0.25">
      <c r="A128" s="12" t="s">
        <v>465</v>
      </c>
      <c r="B128" s="12" t="s">
        <v>57</v>
      </c>
      <c r="C128" s="25">
        <v>21383</v>
      </c>
      <c r="D128" s="12">
        <f t="shared" si="29"/>
        <v>198</v>
      </c>
      <c r="E128" s="23">
        <f t="shared" si="25"/>
        <v>198</v>
      </c>
      <c r="F128" s="12">
        <f t="shared" si="18"/>
        <v>1958</v>
      </c>
      <c r="G128" s="12">
        <f t="shared" si="13"/>
        <v>7</v>
      </c>
      <c r="H128" s="12">
        <f t="shared" si="14"/>
        <v>17</v>
      </c>
      <c r="I128" s="24">
        <f t="shared" si="19"/>
        <v>21383</v>
      </c>
      <c r="J128" s="12" t="s">
        <v>466</v>
      </c>
      <c r="K128" s="12" t="str">
        <f t="shared" si="15"/>
        <v>Lagopus muta (Montin, 1781)</v>
      </c>
      <c r="L128" s="12" t="str">
        <f t="shared" si="16"/>
        <v>Animalia|Chordata|Aves|Galliformes|Phasianidae|Lagopus</v>
      </c>
      <c r="M128" s="12" t="s">
        <v>59</v>
      </c>
      <c r="N128" s="12" t="s">
        <v>60</v>
      </c>
      <c r="O128" s="12" t="s">
        <v>61</v>
      </c>
      <c r="P128" s="12" t="s">
        <v>299</v>
      </c>
      <c r="Q128" s="12" t="s">
        <v>300</v>
      </c>
      <c r="R128" s="12" t="s">
        <v>934</v>
      </c>
      <c r="S128" s="12" t="s">
        <v>467</v>
      </c>
      <c r="T128" s="12" t="s">
        <v>66</v>
      </c>
      <c r="U128" s="12" t="s">
        <v>468</v>
      </c>
      <c r="V128" s="12" t="s">
        <v>1165</v>
      </c>
      <c r="W128" s="12" t="s">
        <v>68</v>
      </c>
      <c r="X128" s="12">
        <v>44.196427</v>
      </c>
      <c r="Y128" s="12">
        <v>7.4981309999999999</v>
      </c>
      <c r="Z128" s="14" t="s">
        <v>69</v>
      </c>
      <c r="AA128" s="12">
        <v>1399</v>
      </c>
      <c r="AB128" s="12" t="str">
        <f t="shared" si="20"/>
        <v>44.196427/7.498131</v>
      </c>
      <c r="AC128" s="13" t="s">
        <v>1473</v>
      </c>
      <c r="AD128" s="25">
        <v>46054</v>
      </c>
      <c r="AE128" s="14" t="s">
        <v>70</v>
      </c>
      <c r="AF128" s="14" t="s">
        <v>71</v>
      </c>
      <c r="AG128" s="14" t="s">
        <v>72</v>
      </c>
      <c r="AH128" s="12" t="str">
        <f t="shared" si="17"/>
        <v>Europa | Italy | Piedmont | S. Anna di Vinadio</v>
      </c>
      <c r="AI128" s="12" t="s">
        <v>73</v>
      </c>
      <c r="AJ128" s="12"/>
      <c r="AK128" s="12" t="s">
        <v>74</v>
      </c>
      <c r="AL128" s="12" t="str">
        <f t="shared" si="21"/>
        <v>ITA</v>
      </c>
      <c r="AM128" s="12" t="s">
        <v>90</v>
      </c>
      <c r="AN128" s="12" t="s">
        <v>471</v>
      </c>
      <c r="AO128" s="12" t="s">
        <v>57</v>
      </c>
      <c r="AP128" s="12" t="s">
        <v>77</v>
      </c>
      <c r="AQ128" s="12" t="s">
        <v>78</v>
      </c>
      <c r="AR128" s="12" t="s">
        <v>79</v>
      </c>
      <c r="AS128" s="12" t="s">
        <v>1298</v>
      </c>
      <c r="AT128" s="12"/>
      <c r="AU128" s="12" t="s">
        <v>470</v>
      </c>
      <c r="AV128" s="12">
        <v>1</v>
      </c>
      <c r="AW128" s="12">
        <v>1</v>
      </c>
      <c r="AX128" s="12" t="s">
        <v>81</v>
      </c>
      <c r="AY128" s="12" t="s">
        <v>82</v>
      </c>
      <c r="AZ128" s="12" t="s">
        <v>83</v>
      </c>
      <c r="BA128" s="12" t="s">
        <v>450</v>
      </c>
      <c r="BB128" s="12"/>
      <c r="BC128" s="27" t="s">
        <v>1739</v>
      </c>
      <c r="BD128" s="27" t="s">
        <v>1740</v>
      </c>
      <c r="BE128" s="12"/>
    </row>
    <row r="129" spans="1:57" x14ac:dyDescent="0.25">
      <c r="A129" s="12" t="s">
        <v>470</v>
      </c>
      <c r="B129" s="12" t="s">
        <v>57</v>
      </c>
      <c r="C129" s="25">
        <v>21501</v>
      </c>
      <c r="D129" s="12">
        <f t="shared" si="29"/>
        <v>316</v>
      </c>
      <c r="E129" s="23">
        <f t="shared" ref="E129:E192" si="30">IFERROR(C129-DATE(YEAR(C129),1,1)+1,"")</f>
        <v>316</v>
      </c>
      <c r="F129" s="12">
        <f t="shared" ref="F129:F192" si="31">IFERROR(IF(C129="","",IF(C129&lt;10000,C129,YEAR(C129))),"")</f>
        <v>1958</v>
      </c>
      <c r="G129" s="12">
        <f t="shared" ref="G129:G192" si="32">IFERROR(MONTH(C129),"")</f>
        <v>11</v>
      </c>
      <c r="H129" s="12">
        <f t="shared" ref="H129:H192" si="33">IFERROR(DAY(C129),"")</f>
        <v>12</v>
      </c>
      <c r="I129" s="24">
        <f t="shared" si="19"/>
        <v>21501</v>
      </c>
      <c r="J129" s="12" t="s">
        <v>473</v>
      </c>
      <c r="K129" s="12" t="str">
        <f t="shared" ref="K129:K192" si="34">R129&amp;" "&amp;S129&amp;" "&amp;"("&amp;J129&amp;")"</f>
        <v>Alectoris graeca (Meisner, 1804)</v>
      </c>
      <c r="L129" s="12" t="str">
        <f t="shared" ref="L129:L192" si="35">M129&amp;"|"&amp;N129&amp;"|"&amp;O129&amp;"|"&amp;P129&amp;"|"&amp;Q129&amp;"|"&amp;R129</f>
        <v>Animalia|Chordata|Aves|Galliformes|Phasianidae|Alectoris</v>
      </c>
      <c r="M129" s="12" t="s">
        <v>59</v>
      </c>
      <c r="N129" s="12" t="s">
        <v>60</v>
      </c>
      <c r="O129" s="12" t="s">
        <v>61</v>
      </c>
      <c r="P129" s="12" t="s">
        <v>299</v>
      </c>
      <c r="Q129" s="12" t="s">
        <v>300</v>
      </c>
      <c r="R129" s="12" t="s">
        <v>911</v>
      </c>
      <c r="S129" s="12" t="s">
        <v>474</v>
      </c>
      <c r="T129" s="12" t="s">
        <v>66</v>
      </c>
      <c r="U129" s="12" t="s">
        <v>475</v>
      </c>
      <c r="V129" s="12" t="s">
        <v>1165</v>
      </c>
      <c r="W129" s="12" t="s">
        <v>68</v>
      </c>
      <c r="X129" s="12">
        <v>44.300369000000003</v>
      </c>
      <c r="Y129" s="12">
        <v>7.1455529999999996</v>
      </c>
      <c r="Z129" s="14" t="s">
        <v>69</v>
      </c>
      <c r="AA129" s="12">
        <v>536</v>
      </c>
      <c r="AB129" s="12" t="str">
        <f t="shared" si="20"/>
        <v>44.300369/7.145553</v>
      </c>
      <c r="AC129" s="13" t="s">
        <v>1473</v>
      </c>
      <c r="AD129" s="25">
        <v>46054</v>
      </c>
      <c r="AE129" s="14" t="s">
        <v>70</v>
      </c>
      <c r="AF129" s="14" t="s">
        <v>71</v>
      </c>
      <c r="AG129" s="14" t="s">
        <v>72</v>
      </c>
      <c r="AH129" s="12" t="str">
        <f t="shared" ref="AH129:AH192" si="36">_xlfn.TEXTJOIN(" | ",TRUE,AI129,AJ129,AK129,AM129,AN129)</f>
        <v>Europa | Italy | Piedmont | Limone Piemonte</v>
      </c>
      <c r="AI129" s="12" t="s">
        <v>73</v>
      </c>
      <c r="AJ129" s="12"/>
      <c r="AK129" s="12" t="s">
        <v>74</v>
      </c>
      <c r="AL129" s="12" t="str">
        <f t="shared" si="21"/>
        <v>ITA</v>
      </c>
      <c r="AM129" s="12" t="s">
        <v>90</v>
      </c>
      <c r="AN129" s="12" t="s">
        <v>91</v>
      </c>
      <c r="AO129" s="12" t="s">
        <v>57</v>
      </c>
      <c r="AP129" s="12" t="s">
        <v>77</v>
      </c>
      <c r="AQ129" s="12" t="s">
        <v>78</v>
      </c>
      <c r="AR129" s="12" t="s">
        <v>79</v>
      </c>
      <c r="AS129" s="12" t="s">
        <v>1299</v>
      </c>
      <c r="AT129" s="12" t="s">
        <v>80</v>
      </c>
      <c r="AU129" s="12" t="s">
        <v>472</v>
      </c>
      <c r="AV129" s="12">
        <v>1</v>
      </c>
      <c r="AW129" s="12">
        <v>1</v>
      </c>
      <c r="AX129" s="12" t="s">
        <v>81</v>
      </c>
      <c r="AY129" s="12" t="s">
        <v>82</v>
      </c>
      <c r="AZ129" s="12" t="s">
        <v>83</v>
      </c>
      <c r="BA129" s="12" t="s">
        <v>84</v>
      </c>
      <c r="BB129" s="12"/>
      <c r="BC129" s="27" t="s">
        <v>1741</v>
      </c>
      <c r="BD129" s="27" t="s">
        <v>1742</v>
      </c>
      <c r="BE129" s="12"/>
    </row>
    <row r="130" spans="1:57" x14ac:dyDescent="0.25">
      <c r="A130" s="12" t="s">
        <v>472</v>
      </c>
      <c r="B130" s="12" t="s">
        <v>57</v>
      </c>
      <c r="C130" s="25">
        <v>21812</v>
      </c>
      <c r="D130" s="12">
        <f t="shared" si="29"/>
        <v>262</v>
      </c>
      <c r="E130" s="23">
        <f t="shared" si="30"/>
        <v>262</v>
      </c>
      <c r="F130" s="12">
        <f t="shared" si="31"/>
        <v>1959</v>
      </c>
      <c r="G130" s="12">
        <f t="shared" si="32"/>
        <v>9</v>
      </c>
      <c r="H130" s="12">
        <f t="shared" si="33"/>
        <v>19</v>
      </c>
      <c r="I130" s="24">
        <f t="shared" ref="I130:I193" si="37">IF(C130="","",IF(C130&lt;10000,C130,C130))</f>
        <v>21812</v>
      </c>
      <c r="J130" s="12" t="s">
        <v>58</v>
      </c>
      <c r="K130" s="12" t="str">
        <f t="shared" si="34"/>
        <v>Falco tinnunculus (Linnaeus, 1758)</v>
      </c>
      <c r="L130" s="12" t="str">
        <f t="shared" si="35"/>
        <v>Animalia|Chordata|Aves|Falconiformes|Falconidae|Falco</v>
      </c>
      <c r="M130" s="12" t="s">
        <v>59</v>
      </c>
      <c r="N130" s="12" t="s">
        <v>60</v>
      </c>
      <c r="O130" s="12" t="s">
        <v>61</v>
      </c>
      <c r="P130" s="12" t="s">
        <v>202</v>
      </c>
      <c r="Q130" s="14" t="s">
        <v>203</v>
      </c>
      <c r="R130" s="12" t="s">
        <v>893</v>
      </c>
      <c r="S130" s="12" t="s">
        <v>204</v>
      </c>
      <c r="T130" s="12" t="s">
        <v>66</v>
      </c>
      <c r="U130" s="12" t="s">
        <v>205</v>
      </c>
      <c r="V130" s="12" t="s">
        <v>1165</v>
      </c>
      <c r="W130" s="12" t="s">
        <v>68</v>
      </c>
      <c r="X130" s="12">
        <v>44.200369000000002</v>
      </c>
      <c r="Y130" s="12">
        <v>7.5717309999999998</v>
      </c>
      <c r="Z130" s="14" t="s">
        <v>69</v>
      </c>
      <c r="AA130" s="12">
        <v>1470</v>
      </c>
      <c r="AB130" s="12" t="str">
        <f t="shared" ref="AB130:AB193" si="38">X130&amp;"/"&amp;Y130</f>
        <v>44.200369/7.571731</v>
      </c>
      <c r="AC130" s="13" t="s">
        <v>1473</v>
      </c>
      <c r="AD130" s="25">
        <v>46054</v>
      </c>
      <c r="AE130" s="14" t="s">
        <v>70</v>
      </c>
      <c r="AF130" s="14" t="s">
        <v>71</v>
      </c>
      <c r="AG130" s="14" t="s">
        <v>72</v>
      </c>
      <c r="AH130" s="12" t="str">
        <f t="shared" si="36"/>
        <v>Europa | Italy | Piedmont | Cuneo</v>
      </c>
      <c r="AI130" s="12" t="s">
        <v>73</v>
      </c>
      <c r="AJ130" s="12"/>
      <c r="AK130" s="12" t="s">
        <v>74</v>
      </c>
      <c r="AL130" s="12" t="str">
        <f t="shared" ref="AL130:AL193" si="39">IF(TRIM(AK130)="Italy","ITA",IF(TRIM(AK130)="Venezuela","VEN",IF(TRIM(AK130)="Brazil","BRA",IF(TRIM(AK130)="Ethiopia","ETH",IF(TRIM(AK130)="Equador","ECU",IF(TRIM(AK130)="France","FRA",IF(TRIM(AK130)="Australia","AUS",IF(TRIM(AK130)="Guatemala","GTM",IF(TRIM(AK130)="Antartica","AQ")))))))))</f>
        <v>ITA</v>
      </c>
      <c r="AM130" s="12" t="s">
        <v>90</v>
      </c>
      <c r="AN130" s="12" t="s">
        <v>206</v>
      </c>
      <c r="AO130" s="12" t="s">
        <v>57</v>
      </c>
      <c r="AP130" s="12" t="s">
        <v>77</v>
      </c>
      <c r="AQ130" s="12" t="s">
        <v>78</v>
      </c>
      <c r="AR130" s="12" t="s">
        <v>79</v>
      </c>
      <c r="AS130" s="12" t="s">
        <v>1300</v>
      </c>
      <c r="AT130" s="12" t="s">
        <v>80</v>
      </c>
      <c r="AU130" s="12" t="s">
        <v>476</v>
      </c>
      <c r="AV130" s="12">
        <v>1</v>
      </c>
      <c r="AW130" s="12">
        <v>1</v>
      </c>
      <c r="AX130" s="12" t="s">
        <v>81</v>
      </c>
      <c r="AY130" s="12" t="s">
        <v>82</v>
      </c>
      <c r="AZ130" s="12" t="s">
        <v>83</v>
      </c>
      <c r="BA130" s="12" t="s">
        <v>93</v>
      </c>
      <c r="BB130" s="12"/>
      <c r="BC130" s="27" t="s">
        <v>1743</v>
      </c>
      <c r="BD130" s="27" t="s">
        <v>1744</v>
      </c>
      <c r="BE130" s="12"/>
    </row>
    <row r="131" spans="1:57" x14ac:dyDescent="0.25">
      <c r="A131" s="12" t="s">
        <v>476</v>
      </c>
      <c r="B131" s="12" t="s">
        <v>57</v>
      </c>
      <c r="C131" s="25">
        <v>22168</v>
      </c>
      <c r="D131" s="12">
        <f t="shared" si="29"/>
        <v>253</v>
      </c>
      <c r="E131" s="23">
        <f t="shared" si="30"/>
        <v>253</v>
      </c>
      <c r="F131" s="12">
        <f t="shared" si="31"/>
        <v>1960</v>
      </c>
      <c r="G131" s="12">
        <f t="shared" si="32"/>
        <v>9</v>
      </c>
      <c r="H131" s="12">
        <f t="shared" si="33"/>
        <v>9</v>
      </c>
      <c r="I131" s="24">
        <f t="shared" si="37"/>
        <v>22168</v>
      </c>
      <c r="J131" s="12" t="s">
        <v>58</v>
      </c>
      <c r="K131" s="12" t="str">
        <f t="shared" si="34"/>
        <v>Falco tinnunculus (Linnaeus, 1758)</v>
      </c>
      <c r="L131" s="12" t="str">
        <f t="shared" si="35"/>
        <v>Animalia|Chordata|Aves|Falconiformes|Falconidae|Falco</v>
      </c>
      <c r="M131" s="12" t="s">
        <v>59</v>
      </c>
      <c r="N131" s="12" t="s">
        <v>60</v>
      </c>
      <c r="O131" s="12" t="s">
        <v>61</v>
      </c>
      <c r="P131" s="12" t="s">
        <v>202</v>
      </c>
      <c r="Q131" s="14" t="s">
        <v>203</v>
      </c>
      <c r="R131" s="12" t="s">
        <v>893</v>
      </c>
      <c r="S131" s="12" t="s">
        <v>204</v>
      </c>
      <c r="T131" s="12" t="s">
        <v>66</v>
      </c>
      <c r="U131" s="12" t="s">
        <v>205</v>
      </c>
      <c r="V131" s="12" t="s">
        <v>1165</v>
      </c>
      <c r="W131" s="12" t="s">
        <v>68</v>
      </c>
      <c r="X131" s="12">
        <v>45.388095</v>
      </c>
      <c r="Y131" s="12">
        <v>11.794121000000001</v>
      </c>
      <c r="Z131" s="14" t="s">
        <v>69</v>
      </c>
      <c r="AA131" s="12">
        <v>1509</v>
      </c>
      <c r="AB131" s="12" t="str">
        <f t="shared" si="38"/>
        <v>45.388095/11.794121</v>
      </c>
      <c r="AC131" s="13" t="s">
        <v>1473</v>
      </c>
      <c r="AD131" s="25">
        <v>46054</v>
      </c>
      <c r="AE131" s="14" t="s">
        <v>70</v>
      </c>
      <c r="AF131" s="14" t="s">
        <v>71</v>
      </c>
      <c r="AG131" s="14" t="s">
        <v>72</v>
      </c>
      <c r="AH131" s="12" t="str">
        <f t="shared" si="36"/>
        <v>Europa | Italy | Piedmont | Vinadio</v>
      </c>
      <c r="AI131" s="12" t="s">
        <v>73</v>
      </c>
      <c r="AJ131" s="12"/>
      <c r="AK131" s="12" t="s">
        <v>74</v>
      </c>
      <c r="AL131" s="12" t="str">
        <f t="shared" si="39"/>
        <v>ITA</v>
      </c>
      <c r="AM131" s="12" t="s">
        <v>90</v>
      </c>
      <c r="AN131" s="12" t="s">
        <v>478</v>
      </c>
      <c r="AO131" s="12" t="s">
        <v>57</v>
      </c>
      <c r="AP131" s="12" t="s">
        <v>77</v>
      </c>
      <c r="AQ131" s="12" t="s">
        <v>78</v>
      </c>
      <c r="AR131" s="12" t="s">
        <v>79</v>
      </c>
      <c r="AS131" s="12" t="s">
        <v>1301</v>
      </c>
      <c r="AT131" s="12" t="s">
        <v>92</v>
      </c>
      <c r="AU131" s="12" t="s">
        <v>477</v>
      </c>
      <c r="AV131" s="12">
        <v>1</v>
      </c>
      <c r="AW131" s="12">
        <v>1</v>
      </c>
      <c r="AX131" s="12" t="s">
        <v>81</v>
      </c>
      <c r="AY131" s="12" t="s">
        <v>82</v>
      </c>
      <c r="AZ131" s="12" t="s">
        <v>83</v>
      </c>
      <c r="BA131" s="12" t="s">
        <v>84</v>
      </c>
      <c r="BB131" s="12"/>
      <c r="BC131" s="27" t="s">
        <v>1745</v>
      </c>
      <c r="BD131" s="27" t="s">
        <v>1746</v>
      </c>
      <c r="BE131" s="12"/>
    </row>
    <row r="132" spans="1:57" x14ac:dyDescent="0.25">
      <c r="A132" s="12" t="s">
        <v>477</v>
      </c>
      <c r="B132" s="12" t="s">
        <v>57</v>
      </c>
      <c r="C132" s="12">
        <v>1896</v>
      </c>
      <c r="D132" s="12"/>
      <c r="E132" s="23"/>
      <c r="F132" s="12">
        <f t="shared" si="31"/>
        <v>1896</v>
      </c>
      <c r="G132" s="12"/>
      <c r="H132" s="12"/>
      <c r="I132" s="24">
        <f t="shared" si="37"/>
        <v>1896</v>
      </c>
      <c r="J132" s="12" t="s">
        <v>58</v>
      </c>
      <c r="K132" s="12" t="str">
        <f t="shared" si="34"/>
        <v>Perdix perdix (Linnaeus, 1758)</v>
      </c>
      <c r="L132" s="12" t="str">
        <f t="shared" si="35"/>
        <v>Animalia|Chordata|Aves|Galliformes|Phasianidae|Perdix</v>
      </c>
      <c r="M132" s="12" t="s">
        <v>59</v>
      </c>
      <c r="N132" s="12" t="s">
        <v>60</v>
      </c>
      <c r="O132" s="12" t="s">
        <v>61</v>
      </c>
      <c r="P132" s="12" t="s">
        <v>299</v>
      </c>
      <c r="Q132" s="12" t="s">
        <v>300</v>
      </c>
      <c r="R132" s="12" t="s">
        <v>935</v>
      </c>
      <c r="S132" s="12" t="s">
        <v>480</v>
      </c>
      <c r="T132" s="12" t="s">
        <v>66</v>
      </c>
      <c r="U132" s="12" t="s">
        <v>481</v>
      </c>
      <c r="V132" s="12"/>
      <c r="W132" s="12" t="s">
        <v>68</v>
      </c>
      <c r="X132" s="12">
        <v>41.9</v>
      </c>
      <c r="Y132" s="12">
        <v>12.483333</v>
      </c>
      <c r="Z132" s="14" t="s">
        <v>69</v>
      </c>
      <c r="AA132" s="12">
        <v>883</v>
      </c>
      <c r="AB132" s="12" t="str">
        <f t="shared" si="38"/>
        <v>41.9/12.483333</v>
      </c>
      <c r="AC132" s="13" t="s">
        <v>1473</v>
      </c>
      <c r="AD132" s="25">
        <v>46054</v>
      </c>
      <c r="AE132" s="14" t="s">
        <v>70</v>
      </c>
      <c r="AF132" s="14" t="s">
        <v>71</v>
      </c>
      <c r="AG132" s="14" t="s">
        <v>72</v>
      </c>
      <c r="AH132" s="12" t="str">
        <f t="shared" si="36"/>
        <v>Europa | Italy | Lazio | Rome</v>
      </c>
      <c r="AI132" s="12" t="s">
        <v>73</v>
      </c>
      <c r="AJ132" s="12"/>
      <c r="AK132" s="12" t="s">
        <v>74</v>
      </c>
      <c r="AL132" s="12" t="str">
        <f t="shared" si="39"/>
        <v>ITA</v>
      </c>
      <c r="AM132" s="12" t="s">
        <v>75</v>
      </c>
      <c r="AN132" s="12" t="s">
        <v>153</v>
      </c>
      <c r="AO132" s="12" t="s">
        <v>57</v>
      </c>
      <c r="AP132" s="12" t="s">
        <v>77</v>
      </c>
      <c r="AQ132" s="12" t="s">
        <v>78</v>
      </c>
      <c r="AR132" s="12" t="s">
        <v>79</v>
      </c>
      <c r="AS132" s="12" t="s">
        <v>1302</v>
      </c>
      <c r="AT132" s="12" t="s">
        <v>92</v>
      </c>
      <c r="AU132" s="12" t="s">
        <v>479</v>
      </c>
      <c r="AV132" s="12">
        <v>1</v>
      </c>
      <c r="AW132" s="12">
        <v>1</v>
      </c>
      <c r="AX132" s="12" t="s">
        <v>81</v>
      </c>
      <c r="AY132" s="12" t="s">
        <v>82</v>
      </c>
      <c r="AZ132" s="12" t="s">
        <v>83</v>
      </c>
      <c r="BA132" s="12" t="s">
        <v>84</v>
      </c>
      <c r="BB132" s="12"/>
      <c r="BC132" s="27" t="s">
        <v>1747</v>
      </c>
      <c r="BD132" s="27" t="s">
        <v>1748</v>
      </c>
      <c r="BE132" s="12"/>
    </row>
    <row r="133" spans="1:57" x14ac:dyDescent="0.25">
      <c r="A133" s="12" t="s">
        <v>479</v>
      </c>
      <c r="B133" s="12" t="s">
        <v>57</v>
      </c>
      <c r="C133" s="12">
        <v>1888</v>
      </c>
      <c r="D133" s="12"/>
      <c r="E133" s="23"/>
      <c r="F133" s="12">
        <f t="shared" si="31"/>
        <v>1888</v>
      </c>
      <c r="G133" s="12"/>
      <c r="H133" s="12"/>
      <c r="I133" s="24">
        <f t="shared" si="37"/>
        <v>1888</v>
      </c>
      <c r="J133" s="12" t="s">
        <v>58</v>
      </c>
      <c r="K133" s="12" t="str">
        <f t="shared" si="34"/>
        <v>Coturnix coturnix (Linnaeus, 1758)</v>
      </c>
      <c r="L133" s="12" t="str">
        <f t="shared" si="35"/>
        <v>Animalia|Chordata|Aves|Galliformes|Phasianidae|Coturnix</v>
      </c>
      <c r="M133" s="12" t="s">
        <v>59</v>
      </c>
      <c r="N133" s="12" t="s">
        <v>60</v>
      </c>
      <c r="O133" s="12" t="s">
        <v>61</v>
      </c>
      <c r="P133" s="12" t="s">
        <v>299</v>
      </c>
      <c r="Q133" s="12" t="s">
        <v>300</v>
      </c>
      <c r="R133" s="12" t="s">
        <v>936</v>
      </c>
      <c r="S133" s="12" t="s">
        <v>483</v>
      </c>
      <c r="T133" s="12" t="s">
        <v>66</v>
      </c>
      <c r="U133" s="12" t="s">
        <v>484</v>
      </c>
      <c r="V133" s="12"/>
      <c r="W133" s="12" t="s">
        <v>68</v>
      </c>
      <c r="X133" s="12">
        <v>41.9</v>
      </c>
      <c r="Y133" s="12">
        <v>12.483333</v>
      </c>
      <c r="Z133" s="14" t="s">
        <v>69</v>
      </c>
      <c r="AA133" s="12">
        <v>36625</v>
      </c>
      <c r="AB133" s="12" t="str">
        <f t="shared" si="38"/>
        <v>41.9/12.483333</v>
      </c>
      <c r="AC133" s="13" t="s">
        <v>1473</v>
      </c>
      <c r="AD133" s="25">
        <v>46054</v>
      </c>
      <c r="AE133" s="14" t="s">
        <v>70</v>
      </c>
      <c r="AF133" s="14" t="s">
        <v>71</v>
      </c>
      <c r="AG133" s="14" t="s">
        <v>72</v>
      </c>
      <c r="AH133" s="12" t="str">
        <f t="shared" si="36"/>
        <v>Europa | Italy | Lazio | Rome</v>
      </c>
      <c r="AI133" s="12" t="s">
        <v>73</v>
      </c>
      <c r="AJ133" s="12"/>
      <c r="AK133" s="12" t="s">
        <v>74</v>
      </c>
      <c r="AL133" s="12" t="str">
        <f t="shared" si="39"/>
        <v>ITA</v>
      </c>
      <c r="AM133" s="12" t="s">
        <v>75</v>
      </c>
      <c r="AN133" s="12" t="s">
        <v>153</v>
      </c>
      <c r="AO133" s="12" t="s">
        <v>57</v>
      </c>
      <c r="AP133" s="12" t="s">
        <v>77</v>
      </c>
      <c r="AQ133" s="12" t="s">
        <v>78</v>
      </c>
      <c r="AR133" s="12" t="s">
        <v>79</v>
      </c>
      <c r="AS133" s="12" t="s">
        <v>1303</v>
      </c>
      <c r="AT133" s="12" t="s">
        <v>80</v>
      </c>
      <c r="AU133" s="12" t="s">
        <v>482</v>
      </c>
      <c r="AV133" s="12">
        <v>1</v>
      </c>
      <c r="AW133" s="12">
        <v>1</v>
      </c>
      <c r="AX133" s="12" t="s">
        <v>81</v>
      </c>
      <c r="AY133" s="12" t="s">
        <v>82</v>
      </c>
      <c r="AZ133" s="12" t="s">
        <v>83</v>
      </c>
      <c r="BA133" s="12" t="s">
        <v>84</v>
      </c>
      <c r="BB133" s="12"/>
      <c r="BC133" s="27" t="s">
        <v>1749</v>
      </c>
      <c r="BD133" s="27" t="s">
        <v>1750</v>
      </c>
      <c r="BE133" s="12"/>
    </row>
    <row r="134" spans="1:57" x14ac:dyDescent="0.25">
      <c r="A134" s="12" t="s">
        <v>482</v>
      </c>
      <c r="B134" s="12" t="s">
        <v>57</v>
      </c>
      <c r="C134" s="25">
        <v>20797</v>
      </c>
      <c r="D134" s="12">
        <f t="shared" si="29"/>
        <v>343</v>
      </c>
      <c r="E134" s="23">
        <f t="shared" si="30"/>
        <v>343</v>
      </c>
      <c r="F134" s="12">
        <f t="shared" si="31"/>
        <v>1956</v>
      </c>
      <c r="G134" s="12">
        <f t="shared" si="32"/>
        <v>12</v>
      </c>
      <c r="H134" s="12">
        <f t="shared" si="33"/>
        <v>8</v>
      </c>
      <c r="I134" s="24">
        <f t="shared" si="37"/>
        <v>20797</v>
      </c>
      <c r="J134" s="12" t="s">
        <v>58</v>
      </c>
      <c r="K134" s="12" t="str">
        <f t="shared" si="34"/>
        <v>Rallus aquaticus (Linnaeus, 1758)</v>
      </c>
      <c r="L134" s="12" t="str">
        <f t="shared" si="35"/>
        <v>Animalia|Chordata|Aves|Gruiformes|Rallidae|Rallus</v>
      </c>
      <c r="M134" s="12" t="s">
        <v>59</v>
      </c>
      <c r="N134" s="12" t="s">
        <v>60</v>
      </c>
      <c r="O134" s="12" t="s">
        <v>61</v>
      </c>
      <c r="P134" s="12" t="s">
        <v>212</v>
      </c>
      <c r="Q134" s="12" t="s">
        <v>213</v>
      </c>
      <c r="R134" s="12" t="s">
        <v>895</v>
      </c>
      <c r="S134" s="12" t="s">
        <v>214</v>
      </c>
      <c r="T134" s="12" t="s">
        <v>66</v>
      </c>
      <c r="U134" s="12" t="s">
        <v>215</v>
      </c>
      <c r="V134" s="12" t="s">
        <v>1165</v>
      </c>
      <c r="W134" s="12" t="s">
        <v>68</v>
      </c>
      <c r="X134" s="12">
        <v>41.9</v>
      </c>
      <c r="Y134" s="12">
        <v>12.483333</v>
      </c>
      <c r="Z134" s="14" t="s">
        <v>69</v>
      </c>
      <c r="AA134" s="12">
        <v>36625</v>
      </c>
      <c r="AB134" s="12" t="str">
        <f t="shared" si="38"/>
        <v>41.9/12.483333</v>
      </c>
      <c r="AC134" s="13" t="s">
        <v>1473</v>
      </c>
      <c r="AD134" s="25">
        <v>46054</v>
      </c>
      <c r="AE134" s="14" t="s">
        <v>70</v>
      </c>
      <c r="AF134" s="14" t="s">
        <v>71</v>
      </c>
      <c r="AG134" s="14" t="s">
        <v>72</v>
      </c>
      <c r="AH134" s="12" t="str">
        <f t="shared" si="36"/>
        <v>Europa | Italy | Piedmont | Borgo San Dalmazzo</v>
      </c>
      <c r="AI134" s="12" t="s">
        <v>73</v>
      </c>
      <c r="AJ134" s="12"/>
      <c r="AK134" s="12" t="s">
        <v>74</v>
      </c>
      <c r="AL134" s="12" t="str">
        <f t="shared" si="39"/>
        <v>ITA</v>
      </c>
      <c r="AM134" s="12" t="s">
        <v>90</v>
      </c>
      <c r="AN134" s="12" t="s">
        <v>160</v>
      </c>
      <c r="AO134" s="12" t="s">
        <v>57</v>
      </c>
      <c r="AP134" s="12" t="s">
        <v>77</v>
      </c>
      <c r="AQ134" s="12" t="s">
        <v>78</v>
      </c>
      <c r="AR134" s="12" t="s">
        <v>79</v>
      </c>
      <c r="AS134" s="12" t="s">
        <v>1304</v>
      </c>
      <c r="AT134" s="12" t="s">
        <v>80</v>
      </c>
      <c r="AU134" s="12" t="s">
        <v>485</v>
      </c>
      <c r="AV134" s="12">
        <v>1</v>
      </c>
      <c r="AW134" s="12">
        <v>1</v>
      </c>
      <c r="AX134" s="12" t="s">
        <v>81</v>
      </c>
      <c r="AY134" s="12" t="s">
        <v>82</v>
      </c>
      <c r="AZ134" s="12" t="s">
        <v>83</v>
      </c>
      <c r="BA134" s="12" t="s">
        <v>84</v>
      </c>
      <c r="BB134" s="12"/>
      <c r="BC134" s="27" t="s">
        <v>1751</v>
      </c>
      <c r="BD134" s="27" t="s">
        <v>1752</v>
      </c>
      <c r="BE134" s="12"/>
    </row>
    <row r="135" spans="1:57" x14ac:dyDescent="0.25">
      <c r="A135" s="12" t="s">
        <v>485</v>
      </c>
      <c r="B135" s="12" t="s">
        <v>57</v>
      </c>
      <c r="C135" s="25">
        <v>22564</v>
      </c>
      <c r="D135" s="12">
        <f t="shared" si="29"/>
        <v>283</v>
      </c>
      <c r="E135" s="23">
        <f t="shared" si="30"/>
        <v>283</v>
      </c>
      <c r="F135" s="12">
        <f t="shared" si="31"/>
        <v>1961</v>
      </c>
      <c r="G135" s="12">
        <f t="shared" si="32"/>
        <v>10</v>
      </c>
      <c r="H135" s="12">
        <f t="shared" si="33"/>
        <v>10</v>
      </c>
      <c r="I135" s="24">
        <f t="shared" si="37"/>
        <v>22564</v>
      </c>
      <c r="J135" s="12" t="s">
        <v>58</v>
      </c>
      <c r="K135" s="12" t="str">
        <f t="shared" si="34"/>
        <v>Coturnix coturnix (Linnaeus, 1758)</v>
      </c>
      <c r="L135" s="12" t="str">
        <f t="shared" si="35"/>
        <v>Animalia|Chordata|Aves|Galliformes|Phasianidae|Coturnix</v>
      </c>
      <c r="M135" s="12" t="s">
        <v>59</v>
      </c>
      <c r="N135" s="12" t="s">
        <v>60</v>
      </c>
      <c r="O135" s="12" t="s">
        <v>61</v>
      </c>
      <c r="P135" s="12" t="s">
        <v>299</v>
      </c>
      <c r="Q135" s="12" t="s">
        <v>300</v>
      </c>
      <c r="R135" s="12" t="s">
        <v>936</v>
      </c>
      <c r="S135" s="12" t="s">
        <v>483</v>
      </c>
      <c r="T135" s="12" t="s">
        <v>66</v>
      </c>
      <c r="U135" s="12" t="s">
        <v>484</v>
      </c>
      <c r="V135" s="12" t="s">
        <v>1165</v>
      </c>
      <c r="W135" s="12" t="s">
        <v>68</v>
      </c>
      <c r="X135" s="12">
        <v>44.33014</v>
      </c>
      <c r="Y135" s="12">
        <v>7.4859239999999998</v>
      </c>
      <c r="Z135" s="14" t="s">
        <v>69</v>
      </c>
      <c r="AA135" s="12">
        <v>1929</v>
      </c>
      <c r="AB135" s="12" t="str">
        <f t="shared" si="38"/>
        <v>44.33014/7.485924</v>
      </c>
      <c r="AC135" s="13" t="s">
        <v>1473</v>
      </c>
      <c r="AD135" s="25">
        <v>46054</v>
      </c>
      <c r="AE135" s="14" t="s">
        <v>70</v>
      </c>
      <c r="AF135" s="14" t="s">
        <v>71</v>
      </c>
      <c r="AG135" s="14" t="s">
        <v>72</v>
      </c>
      <c r="AH135" s="12" t="str">
        <f t="shared" si="36"/>
        <v>Europa | Italy | Piedmont | Borgo San Dalmazzo</v>
      </c>
      <c r="AI135" s="12" t="s">
        <v>73</v>
      </c>
      <c r="AJ135" s="12"/>
      <c r="AK135" s="12" t="s">
        <v>74</v>
      </c>
      <c r="AL135" s="12" t="str">
        <f t="shared" si="39"/>
        <v>ITA</v>
      </c>
      <c r="AM135" s="12" t="s">
        <v>90</v>
      </c>
      <c r="AN135" s="12" t="s">
        <v>160</v>
      </c>
      <c r="AO135" s="12" t="s">
        <v>57</v>
      </c>
      <c r="AP135" s="12" t="s">
        <v>77</v>
      </c>
      <c r="AQ135" s="12" t="s">
        <v>78</v>
      </c>
      <c r="AR135" s="12" t="s">
        <v>79</v>
      </c>
      <c r="AS135" s="12" t="s">
        <v>1305</v>
      </c>
      <c r="AT135" s="12"/>
      <c r="AU135" s="12" t="s">
        <v>486</v>
      </c>
      <c r="AV135" s="12">
        <v>1</v>
      </c>
      <c r="AW135" s="12">
        <v>1</v>
      </c>
      <c r="AX135" s="12" t="s">
        <v>81</v>
      </c>
      <c r="AY135" s="12" t="s">
        <v>82</v>
      </c>
      <c r="AZ135" s="12" t="s">
        <v>83</v>
      </c>
      <c r="BA135" s="12" t="s">
        <v>93</v>
      </c>
      <c r="BB135" s="12"/>
      <c r="BC135" s="27" t="s">
        <v>1753</v>
      </c>
      <c r="BD135" s="27" t="s">
        <v>1754</v>
      </c>
      <c r="BE135" s="12"/>
    </row>
    <row r="136" spans="1:57" x14ac:dyDescent="0.25">
      <c r="A136" s="12" t="s">
        <v>486</v>
      </c>
      <c r="B136" s="12" t="s">
        <v>57</v>
      </c>
      <c r="C136" s="25">
        <v>22561</v>
      </c>
      <c r="D136" s="12">
        <f t="shared" si="29"/>
        <v>280</v>
      </c>
      <c r="E136" s="23">
        <f t="shared" si="30"/>
        <v>280</v>
      </c>
      <c r="F136" s="12">
        <f t="shared" si="31"/>
        <v>1961</v>
      </c>
      <c r="G136" s="12">
        <f t="shared" si="32"/>
        <v>10</v>
      </c>
      <c r="H136" s="12">
        <f t="shared" si="33"/>
        <v>7</v>
      </c>
      <c r="I136" s="24">
        <f t="shared" si="37"/>
        <v>22561</v>
      </c>
      <c r="J136" s="12" t="s">
        <v>58</v>
      </c>
      <c r="K136" s="12" t="str">
        <f t="shared" si="34"/>
        <v>Coturnix coturnix (Linnaeus, 1758)</v>
      </c>
      <c r="L136" s="12" t="str">
        <f t="shared" si="35"/>
        <v>Animalia|Chordata|Aves|Galliformes|Phasianidae|Coturnix</v>
      </c>
      <c r="M136" s="12" t="s">
        <v>59</v>
      </c>
      <c r="N136" s="12" t="s">
        <v>60</v>
      </c>
      <c r="O136" s="12" t="s">
        <v>61</v>
      </c>
      <c r="P136" s="12" t="s">
        <v>299</v>
      </c>
      <c r="Q136" s="12" t="s">
        <v>300</v>
      </c>
      <c r="R136" s="12" t="s">
        <v>936</v>
      </c>
      <c r="S136" s="12" t="s">
        <v>483</v>
      </c>
      <c r="T136" s="12" t="s">
        <v>66</v>
      </c>
      <c r="U136" s="12" t="s">
        <v>484</v>
      </c>
      <c r="V136" s="12" t="s">
        <v>1165</v>
      </c>
      <c r="W136" s="12" t="s">
        <v>68</v>
      </c>
      <c r="X136" s="12">
        <v>44.33014</v>
      </c>
      <c r="Y136" s="12">
        <v>7.4859239999999998</v>
      </c>
      <c r="Z136" s="14" t="s">
        <v>69</v>
      </c>
      <c r="AA136" s="12">
        <v>1929</v>
      </c>
      <c r="AB136" s="12" t="str">
        <f t="shared" si="38"/>
        <v>44.33014/7.485924</v>
      </c>
      <c r="AC136" s="13" t="s">
        <v>1473</v>
      </c>
      <c r="AD136" s="25">
        <v>46054</v>
      </c>
      <c r="AE136" s="14" t="s">
        <v>70</v>
      </c>
      <c r="AF136" s="14" t="s">
        <v>71</v>
      </c>
      <c r="AG136" s="14" t="s">
        <v>72</v>
      </c>
      <c r="AH136" s="12" t="str">
        <f t="shared" si="36"/>
        <v>Europa | Italy | Piedmont | Borgo San Dalmazzo</v>
      </c>
      <c r="AI136" s="12" t="s">
        <v>73</v>
      </c>
      <c r="AJ136" s="12"/>
      <c r="AK136" s="12" t="s">
        <v>74</v>
      </c>
      <c r="AL136" s="12" t="str">
        <f t="shared" si="39"/>
        <v>ITA</v>
      </c>
      <c r="AM136" s="12" t="s">
        <v>90</v>
      </c>
      <c r="AN136" s="12" t="s">
        <v>160</v>
      </c>
      <c r="AO136" s="12" t="s">
        <v>57</v>
      </c>
      <c r="AP136" s="12" t="s">
        <v>77</v>
      </c>
      <c r="AQ136" s="12" t="s">
        <v>78</v>
      </c>
      <c r="AR136" s="12" t="s">
        <v>79</v>
      </c>
      <c r="AS136" s="12" t="s">
        <v>1306</v>
      </c>
      <c r="AT136" s="12" t="s">
        <v>80</v>
      </c>
      <c r="AU136" s="12" t="s">
        <v>487</v>
      </c>
      <c r="AV136" s="12">
        <v>1</v>
      </c>
      <c r="AW136" s="12">
        <v>1</v>
      </c>
      <c r="AX136" s="12" t="s">
        <v>81</v>
      </c>
      <c r="AY136" s="12" t="s">
        <v>82</v>
      </c>
      <c r="AZ136" s="12" t="s">
        <v>83</v>
      </c>
      <c r="BA136" s="12" t="s">
        <v>84</v>
      </c>
      <c r="BB136" s="12"/>
      <c r="BC136" s="27" t="s">
        <v>1755</v>
      </c>
      <c r="BD136" s="27" t="s">
        <v>1756</v>
      </c>
      <c r="BE136" s="12"/>
    </row>
    <row r="137" spans="1:57" x14ac:dyDescent="0.25">
      <c r="A137" s="12" t="s">
        <v>487</v>
      </c>
      <c r="B137" s="12" t="s">
        <v>57</v>
      </c>
      <c r="C137" s="25">
        <v>22644</v>
      </c>
      <c r="D137" s="12">
        <f t="shared" si="29"/>
        <v>363</v>
      </c>
      <c r="E137" s="23">
        <f t="shared" si="30"/>
        <v>363</v>
      </c>
      <c r="F137" s="12">
        <f t="shared" si="31"/>
        <v>1961</v>
      </c>
      <c r="G137" s="12">
        <f t="shared" si="32"/>
        <v>12</v>
      </c>
      <c r="H137" s="12">
        <f t="shared" si="33"/>
        <v>29</v>
      </c>
      <c r="I137" s="24">
        <f t="shared" si="37"/>
        <v>22644</v>
      </c>
      <c r="J137" s="12" t="s">
        <v>58</v>
      </c>
      <c r="K137" s="12" t="str">
        <f t="shared" si="34"/>
        <v>Rallus aquaticus (Linnaeus, 1758)</v>
      </c>
      <c r="L137" s="12" t="str">
        <f t="shared" si="35"/>
        <v>Animalia|Chordata|Aves|Gruiformes|Rallidae|Rallus</v>
      </c>
      <c r="M137" s="12" t="s">
        <v>59</v>
      </c>
      <c r="N137" s="12" t="s">
        <v>60</v>
      </c>
      <c r="O137" s="12" t="s">
        <v>61</v>
      </c>
      <c r="P137" s="12" t="s">
        <v>212</v>
      </c>
      <c r="Q137" s="12" t="s">
        <v>213</v>
      </c>
      <c r="R137" s="12" t="s">
        <v>895</v>
      </c>
      <c r="S137" s="12" t="s">
        <v>214</v>
      </c>
      <c r="T137" s="12" t="s">
        <v>66</v>
      </c>
      <c r="U137" s="12" t="s">
        <v>215</v>
      </c>
      <c r="V137" s="12" t="s">
        <v>1165</v>
      </c>
      <c r="W137" s="12" t="s">
        <v>68</v>
      </c>
      <c r="X137" s="12">
        <v>44.33014</v>
      </c>
      <c r="Y137" s="12">
        <v>7.4859239999999998</v>
      </c>
      <c r="Z137" s="14" t="s">
        <v>69</v>
      </c>
      <c r="AA137" s="12">
        <v>1929</v>
      </c>
      <c r="AB137" s="12" t="str">
        <f t="shared" si="38"/>
        <v>44.33014/7.485924</v>
      </c>
      <c r="AC137" s="13" t="s">
        <v>1473</v>
      </c>
      <c r="AD137" s="25">
        <v>46054</v>
      </c>
      <c r="AE137" s="14" t="s">
        <v>70</v>
      </c>
      <c r="AF137" s="14" t="s">
        <v>71</v>
      </c>
      <c r="AG137" s="14" t="s">
        <v>72</v>
      </c>
      <c r="AH137" s="12" t="str">
        <f t="shared" si="36"/>
        <v>Europa | Italy | Piedmont | Costigliole Saluzzo</v>
      </c>
      <c r="AI137" s="12" t="s">
        <v>73</v>
      </c>
      <c r="AJ137" s="12"/>
      <c r="AK137" s="12" t="s">
        <v>74</v>
      </c>
      <c r="AL137" s="12" t="str">
        <f t="shared" si="39"/>
        <v>ITA</v>
      </c>
      <c r="AM137" s="12" t="s">
        <v>90</v>
      </c>
      <c r="AN137" s="12" t="s">
        <v>489</v>
      </c>
      <c r="AO137" s="12" t="s">
        <v>57</v>
      </c>
      <c r="AP137" s="12" t="s">
        <v>77</v>
      </c>
      <c r="AQ137" s="12" t="s">
        <v>78</v>
      </c>
      <c r="AR137" s="12" t="s">
        <v>79</v>
      </c>
      <c r="AS137" s="12" t="s">
        <v>1307</v>
      </c>
      <c r="AT137" s="12" t="s">
        <v>92</v>
      </c>
      <c r="AU137" s="12" t="s">
        <v>488</v>
      </c>
      <c r="AV137" s="12">
        <v>1</v>
      </c>
      <c r="AW137" s="12">
        <v>1</v>
      </c>
      <c r="AX137" s="12" t="s">
        <v>81</v>
      </c>
      <c r="AY137" s="12" t="s">
        <v>82</v>
      </c>
      <c r="AZ137" s="12" t="s">
        <v>83</v>
      </c>
      <c r="BA137" s="12" t="s">
        <v>84</v>
      </c>
      <c r="BB137" s="12"/>
      <c r="BC137" s="27" t="s">
        <v>1757</v>
      </c>
      <c r="BD137" s="27" t="s">
        <v>1758</v>
      </c>
      <c r="BE137" s="12"/>
    </row>
    <row r="138" spans="1:57" x14ac:dyDescent="0.25">
      <c r="A138" s="12" t="s">
        <v>488</v>
      </c>
      <c r="B138" s="12" t="s">
        <v>57</v>
      </c>
      <c r="C138" s="12">
        <v>1892</v>
      </c>
      <c r="D138" s="12">
        <f t="shared" si="29"/>
        <v>65</v>
      </c>
      <c r="E138" s="23">
        <f t="shared" si="30"/>
        <v>65</v>
      </c>
      <c r="F138" s="12">
        <f t="shared" si="31"/>
        <v>1892</v>
      </c>
      <c r="G138" s="12">
        <f t="shared" si="32"/>
        <v>3</v>
      </c>
      <c r="H138" s="12">
        <f t="shared" si="33"/>
        <v>6</v>
      </c>
      <c r="I138" s="24">
        <f t="shared" si="37"/>
        <v>1892</v>
      </c>
      <c r="J138" s="12" t="s">
        <v>58</v>
      </c>
      <c r="K138" s="12" t="str">
        <f t="shared" si="34"/>
        <v>Fulica atra (Linnaeus, 1758)</v>
      </c>
      <c r="L138" s="12" t="str">
        <f t="shared" si="35"/>
        <v>Animalia|Chordata|Aves|Gruiformes|Rallidae|Fulica</v>
      </c>
      <c r="M138" s="12" t="s">
        <v>59</v>
      </c>
      <c r="N138" s="12" t="s">
        <v>60</v>
      </c>
      <c r="O138" s="12" t="s">
        <v>61</v>
      </c>
      <c r="P138" s="12" t="s">
        <v>212</v>
      </c>
      <c r="Q138" s="12" t="s">
        <v>213</v>
      </c>
      <c r="R138" s="12" t="s">
        <v>896</v>
      </c>
      <c r="S138" s="12" t="s">
        <v>218</v>
      </c>
      <c r="T138" s="12" t="s">
        <v>66</v>
      </c>
      <c r="U138" s="12" t="s">
        <v>219</v>
      </c>
      <c r="V138" s="12"/>
      <c r="W138" s="12" t="s">
        <v>68</v>
      </c>
      <c r="X138" s="12">
        <v>41.9</v>
      </c>
      <c r="Y138" s="12">
        <v>12.483333</v>
      </c>
      <c r="Z138" s="14" t="s">
        <v>69</v>
      </c>
      <c r="AA138" s="12">
        <v>1470</v>
      </c>
      <c r="AB138" s="12" t="str">
        <f t="shared" si="38"/>
        <v>41.9/12.483333</v>
      </c>
      <c r="AC138" s="13" t="s">
        <v>1473</v>
      </c>
      <c r="AD138" s="25">
        <v>46054</v>
      </c>
      <c r="AE138" s="14" t="s">
        <v>70</v>
      </c>
      <c r="AF138" s="14" t="s">
        <v>71</v>
      </c>
      <c r="AG138" s="14" t="s">
        <v>72</v>
      </c>
      <c r="AH138" s="12" t="str">
        <f t="shared" si="36"/>
        <v>Europa | Italy | Lazio | Rome</v>
      </c>
      <c r="AI138" s="12" t="s">
        <v>73</v>
      </c>
      <c r="AJ138" s="12"/>
      <c r="AK138" s="12" t="s">
        <v>74</v>
      </c>
      <c r="AL138" s="12" t="str">
        <f t="shared" si="39"/>
        <v>ITA</v>
      </c>
      <c r="AM138" s="12" t="s">
        <v>75</v>
      </c>
      <c r="AN138" s="12" t="s">
        <v>153</v>
      </c>
      <c r="AO138" s="12" t="s">
        <v>57</v>
      </c>
      <c r="AP138" s="12" t="s">
        <v>77</v>
      </c>
      <c r="AQ138" s="12" t="s">
        <v>78</v>
      </c>
      <c r="AR138" s="12" t="s">
        <v>79</v>
      </c>
      <c r="AS138" s="12" t="s">
        <v>1308</v>
      </c>
      <c r="AT138" s="12"/>
      <c r="AU138" s="12" t="s">
        <v>490</v>
      </c>
      <c r="AV138" s="12">
        <v>1</v>
      </c>
      <c r="AW138" s="12">
        <v>1</v>
      </c>
      <c r="AX138" s="12" t="s">
        <v>81</v>
      </c>
      <c r="AY138" s="12" t="s">
        <v>82</v>
      </c>
      <c r="AZ138" s="12" t="s">
        <v>83</v>
      </c>
      <c r="BA138" s="12" t="s">
        <v>84</v>
      </c>
      <c r="BB138" s="12"/>
      <c r="BC138" s="27" t="s">
        <v>1759</v>
      </c>
      <c r="BD138" s="27" t="s">
        <v>1760</v>
      </c>
      <c r="BE138" s="12"/>
    </row>
    <row r="139" spans="1:57" x14ac:dyDescent="0.25">
      <c r="A139" s="12" t="s">
        <v>490</v>
      </c>
      <c r="B139" s="12" t="s">
        <v>57</v>
      </c>
      <c r="C139" s="25">
        <v>22559</v>
      </c>
      <c r="D139" s="12">
        <f t="shared" si="29"/>
        <v>278</v>
      </c>
      <c r="E139" s="23">
        <f t="shared" si="30"/>
        <v>278</v>
      </c>
      <c r="F139" s="12">
        <f t="shared" si="31"/>
        <v>1961</v>
      </c>
      <c r="G139" s="12">
        <f t="shared" si="32"/>
        <v>10</v>
      </c>
      <c r="H139" s="12">
        <f t="shared" si="33"/>
        <v>5</v>
      </c>
      <c r="I139" s="24">
        <f t="shared" si="37"/>
        <v>22559</v>
      </c>
      <c r="J139" s="12" t="s">
        <v>58</v>
      </c>
      <c r="K139" s="12" t="str">
        <f t="shared" si="34"/>
        <v>Gallinula chloropus (Linnaeus, 1758)</v>
      </c>
      <c r="L139" s="12" t="str">
        <f t="shared" si="35"/>
        <v>Animalia|Chordata|Aves|Gruiformes|Rallidae|Gallinula</v>
      </c>
      <c r="M139" s="12" t="s">
        <v>59</v>
      </c>
      <c r="N139" s="12" t="s">
        <v>60</v>
      </c>
      <c r="O139" s="12" t="s">
        <v>61</v>
      </c>
      <c r="P139" s="12" t="s">
        <v>212</v>
      </c>
      <c r="Q139" s="12" t="s">
        <v>213</v>
      </c>
      <c r="R139" s="12" t="s">
        <v>897</v>
      </c>
      <c r="S139" s="12" t="s">
        <v>223</v>
      </c>
      <c r="T139" s="12" t="s">
        <v>66</v>
      </c>
      <c r="U139" s="12" t="s">
        <v>224</v>
      </c>
      <c r="V139" s="12" t="s">
        <v>1165</v>
      </c>
      <c r="W139" s="12" t="s">
        <v>68</v>
      </c>
      <c r="X139" s="12">
        <v>44.200369000000002</v>
      </c>
      <c r="Y139" s="12">
        <v>7.5717309999999998</v>
      </c>
      <c r="Z139" s="14" t="s">
        <v>69</v>
      </c>
      <c r="AA139" s="12">
        <v>36625</v>
      </c>
      <c r="AB139" s="12" t="str">
        <f t="shared" si="38"/>
        <v>44.200369/7.571731</v>
      </c>
      <c r="AC139" s="13" t="s">
        <v>1473</v>
      </c>
      <c r="AD139" s="25">
        <v>46054</v>
      </c>
      <c r="AE139" s="14" t="s">
        <v>70</v>
      </c>
      <c r="AF139" s="14" t="s">
        <v>71</v>
      </c>
      <c r="AG139" s="14" t="s">
        <v>72</v>
      </c>
      <c r="AH139" s="12" t="str">
        <f t="shared" si="36"/>
        <v>Europa | Italy | Piedmont | Limone Piemonte</v>
      </c>
      <c r="AI139" s="12" t="s">
        <v>73</v>
      </c>
      <c r="AJ139" s="12"/>
      <c r="AK139" s="12" t="s">
        <v>74</v>
      </c>
      <c r="AL139" s="12" t="str">
        <f t="shared" si="39"/>
        <v>ITA</v>
      </c>
      <c r="AM139" s="12" t="s">
        <v>90</v>
      </c>
      <c r="AN139" s="12" t="s">
        <v>91</v>
      </c>
      <c r="AO139" s="12" t="s">
        <v>57</v>
      </c>
      <c r="AP139" s="12" t="s">
        <v>77</v>
      </c>
      <c r="AQ139" s="12" t="s">
        <v>78</v>
      </c>
      <c r="AR139" s="12" t="s">
        <v>79</v>
      </c>
      <c r="AS139" s="12" t="s">
        <v>1309</v>
      </c>
      <c r="AT139" s="12" t="s">
        <v>80</v>
      </c>
      <c r="AU139" s="12" t="s">
        <v>491</v>
      </c>
      <c r="AV139" s="12">
        <v>1</v>
      </c>
      <c r="AW139" s="12">
        <v>1</v>
      </c>
      <c r="AX139" s="12" t="s">
        <v>81</v>
      </c>
      <c r="AY139" s="12" t="s">
        <v>82</v>
      </c>
      <c r="AZ139" s="12" t="s">
        <v>83</v>
      </c>
      <c r="BA139" s="12" t="s">
        <v>84</v>
      </c>
      <c r="BB139" s="12"/>
      <c r="BC139" s="27" t="s">
        <v>1761</v>
      </c>
      <c r="BD139" s="27" t="s">
        <v>1762</v>
      </c>
      <c r="BE139" s="12"/>
    </row>
    <row r="140" spans="1:57" x14ac:dyDescent="0.25">
      <c r="A140" s="12" t="s">
        <v>491</v>
      </c>
      <c r="B140" s="12" t="s">
        <v>57</v>
      </c>
      <c r="C140" s="25">
        <v>22204</v>
      </c>
      <c r="D140" s="12">
        <f t="shared" si="29"/>
        <v>289</v>
      </c>
      <c r="E140" s="23">
        <f t="shared" si="30"/>
        <v>289</v>
      </c>
      <c r="F140" s="12">
        <f t="shared" si="31"/>
        <v>1960</v>
      </c>
      <c r="G140" s="12">
        <f t="shared" si="32"/>
        <v>10</v>
      </c>
      <c r="H140" s="12">
        <f t="shared" si="33"/>
        <v>15</v>
      </c>
      <c r="I140" s="24">
        <f t="shared" si="37"/>
        <v>22204</v>
      </c>
      <c r="J140" s="12" t="s">
        <v>58</v>
      </c>
      <c r="K140" s="12" t="str">
        <f t="shared" si="34"/>
        <v>Pernis apivorus (Linnaeus, 1758)</v>
      </c>
      <c r="L140" s="12" t="str">
        <f t="shared" si="35"/>
        <v>Animalia|Chordata|Aves|Accipitriformes|Accipitridae|Pernis</v>
      </c>
      <c r="M140" s="12" t="s">
        <v>59</v>
      </c>
      <c r="N140" s="12" t="s">
        <v>60</v>
      </c>
      <c r="O140" s="12" t="s">
        <v>61</v>
      </c>
      <c r="P140" s="12" t="s">
        <v>189</v>
      </c>
      <c r="Q140" s="12" t="s">
        <v>190</v>
      </c>
      <c r="R140" s="12" t="s">
        <v>891</v>
      </c>
      <c r="S140" s="12" t="s">
        <v>195</v>
      </c>
      <c r="T140" s="12" t="s">
        <v>66</v>
      </c>
      <c r="U140" s="12" t="s">
        <v>196</v>
      </c>
      <c r="V140" s="12"/>
      <c r="W140" s="12" t="s">
        <v>68</v>
      </c>
      <c r="X140" s="12">
        <v>41.9</v>
      </c>
      <c r="Y140" s="12">
        <v>12.483333</v>
      </c>
      <c r="Z140" s="14" t="s">
        <v>69</v>
      </c>
      <c r="AA140" s="12">
        <v>1470</v>
      </c>
      <c r="AB140" s="12" t="str">
        <f t="shared" si="38"/>
        <v>41.9/12.483333</v>
      </c>
      <c r="AC140" s="13" t="s">
        <v>1473</v>
      </c>
      <c r="AD140" s="25">
        <v>46054</v>
      </c>
      <c r="AE140" s="14" t="s">
        <v>70</v>
      </c>
      <c r="AF140" s="14" t="s">
        <v>71</v>
      </c>
      <c r="AG140" s="14" t="s">
        <v>72</v>
      </c>
      <c r="AH140" s="12" t="str">
        <f t="shared" si="36"/>
        <v>Europa | Italy | Lazio | Rome</v>
      </c>
      <c r="AI140" s="12" t="s">
        <v>73</v>
      </c>
      <c r="AJ140" s="12"/>
      <c r="AK140" s="12" t="s">
        <v>74</v>
      </c>
      <c r="AL140" s="12" t="str">
        <f t="shared" si="39"/>
        <v>ITA</v>
      </c>
      <c r="AM140" s="12" t="s">
        <v>75</v>
      </c>
      <c r="AN140" s="12" t="s">
        <v>153</v>
      </c>
      <c r="AO140" s="12" t="s">
        <v>57</v>
      </c>
      <c r="AP140" s="12" t="s">
        <v>77</v>
      </c>
      <c r="AQ140" s="12" t="s">
        <v>78</v>
      </c>
      <c r="AR140" s="12" t="s">
        <v>79</v>
      </c>
      <c r="AS140" s="12" t="s">
        <v>1310</v>
      </c>
      <c r="AT140" s="12"/>
      <c r="AU140" s="12" t="s">
        <v>492</v>
      </c>
      <c r="AV140" s="12">
        <v>1</v>
      </c>
      <c r="AW140" s="12">
        <v>1</v>
      </c>
      <c r="AX140" s="12" t="s">
        <v>81</v>
      </c>
      <c r="AY140" s="12" t="s">
        <v>82</v>
      </c>
      <c r="AZ140" s="12" t="s">
        <v>83</v>
      </c>
      <c r="BA140" s="12" t="s">
        <v>84</v>
      </c>
      <c r="BB140" s="12"/>
      <c r="BC140" s="27" t="s">
        <v>1763</v>
      </c>
      <c r="BD140" s="27" t="s">
        <v>1764</v>
      </c>
      <c r="BE140" s="12"/>
    </row>
    <row r="141" spans="1:57" x14ac:dyDescent="0.25">
      <c r="A141" s="12" t="s">
        <v>492</v>
      </c>
      <c r="B141" s="12" t="s">
        <v>57</v>
      </c>
      <c r="C141" s="25">
        <v>21139</v>
      </c>
      <c r="D141" s="12">
        <f t="shared" si="29"/>
        <v>319</v>
      </c>
      <c r="E141" s="23">
        <f t="shared" si="30"/>
        <v>319</v>
      </c>
      <c r="F141" s="12">
        <f t="shared" si="31"/>
        <v>1957</v>
      </c>
      <c r="G141" s="12">
        <f t="shared" si="32"/>
        <v>11</v>
      </c>
      <c r="H141" s="12">
        <f t="shared" si="33"/>
        <v>15</v>
      </c>
      <c r="I141" s="24">
        <f t="shared" si="37"/>
        <v>21139</v>
      </c>
      <c r="J141" s="12" t="s">
        <v>58</v>
      </c>
      <c r="K141" s="12" t="str">
        <f t="shared" si="34"/>
        <v>Pernis apivorus (Linnaeus, 1758)</v>
      </c>
      <c r="L141" s="12" t="str">
        <f t="shared" si="35"/>
        <v>Animalia|Chordata|Aves|Accipitriformes|Accipitridae|Pernis</v>
      </c>
      <c r="M141" s="12" t="s">
        <v>59</v>
      </c>
      <c r="N141" s="12" t="s">
        <v>60</v>
      </c>
      <c r="O141" s="12" t="s">
        <v>61</v>
      </c>
      <c r="P141" s="12" t="s">
        <v>189</v>
      </c>
      <c r="Q141" s="12" t="s">
        <v>190</v>
      </c>
      <c r="R141" s="12" t="s">
        <v>891</v>
      </c>
      <c r="S141" s="12" t="s">
        <v>195</v>
      </c>
      <c r="T141" s="12" t="s">
        <v>66</v>
      </c>
      <c r="U141" s="12" t="s">
        <v>196</v>
      </c>
      <c r="V141" s="12"/>
      <c r="W141" s="12" t="s">
        <v>68</v>
      </c>
      <c r="X141" s="12">
        <v>41.9</v>
      </c>
      <c r="Y141" s="12">
        <v>12.483333</v>
      </c>
      <c r="Z141" s="14" t="s">
        <v>69</v>
      </c>
      <c r="AA141" s="12">
        <v>36625</v>
      </c>
      <c r="AB141" s="12" t="str">
        <f t="shared" si="38"/>
        <v>41.9/12.483333</v>
      </c>
      <c r="AC141" s="13" t="s">
        <v>1473</v>
      </c>
      <c r="AD141" s="25">
        <v>46054</v>
      </c>
      <c r="AE141" s="14" t="s">
        <v>70</v>
      </c>
      <c r="AF141" s="14" t="s">
        <v>71</v>
      </c>
      <c r="AG141" s="14" t="s">
        <v>72</v>
      </c>
      <c r="AH141" s="12" t="str">
        <f t="shared" si="36"/>
        <v>Europa | Zannone | Italy | Lazio | Zannone Island</v>
      </c>
      <c r="AI141" s="12" t="s">
        <v>73</v>
      </c>
      <c r="AJ141" s="12" t="s">
        <v>1486</v>
      </c>
      <c r="AK141" s="12" t="s">
        <v>74</v>
      </c>
      <c r="AL141" s="12" t="str">
        <f t="shared" si="39"/>
        <v>ITA</v>
      </c>
      <c r="AM141" s="12" t="s">
        <v>75</v>
      </c>
      <c r="AN141" s="12" t="s">
        <v>458</v>
      </c>
      <c r="AO141" s="12" t="s">
        <v>57</v>
      </c>
      <c r="AP141" s="12" t="s">
        <v>77</v>
      </c>
      <c r="AQ141" s="12" t="s">
        <v>78</v>
      </c>
      <c r="AR141" s="12" t="s">
        <v>79</v>
      </c>
      <c r="AS141" s="12" t="s">
        <v>1311</v>
      </c>
      <c r="AT141" s="12" t="s">
        <v>80</v>
      </c>
      <c r="AU141" s="12" t="s">
        <v>493</v>
      </c>
      <c r="AV141" s="12">
        <v>1</v>
      </c>
      <c r="AW141" s="12">
        <v>1</v>
      </c>
      <c r="AX141" s="12" t="s">
        <v>81</v>
      </c>
      <c r="AY141" s="12" t="s">
        <v>82</v>
      </c>
      <c r="AZ141" s="12" t="s">
        <v>83</v>
      </c>
      <c r="BA141" s="12" t="s">
        <v>84</v>
      </c>
      <c r="BB141" s="12"/>
      <c r="BC141" s="27" t="s">
        <v>1765</v>
      </c>
      <c r="BD141" s="27" t="s">
        <v>1766</v>
      </c>
      <c r="BE141" s="12"/>
    </row>
    <row r="142" spans="1:57" x14ac:dyDescent="0.25">
      <c r="A142" s="12" t="s">
        <v>493</v>
      </c>
      <c r="B142" s="12" t="s">
        <v>57</v>
      </c>
      <c r="C142" s="25">
        <v>21816</v>
      </c>
      <c r="D142" s="12">
        <f t="shared" si="29"/>
        <v>266</v>
      </c>
      <c r="E142" s="23">
        <f t="shared" si="30"/>
        <v>266</v>
      </c>
      <c r="F142" s="12">
        <f t="shared" si="31"/>
        <v>1959</v>
      </c>
      <c r="G142" s="12">
        <f t="shared" si="32"/>
        <v>9</v>
      </c>
      <c r="H142" s="12">
        <f t="shared" si="33"/>
        <v>23</v>
      </c>
      <c r="I142" s="24">
        <f t="shared" si="37"/>
        <v>21816</v>
      </c>
      <c r="J142" s="12" t="s">
        <v>58</v>
      </c>
      <c r="K142" s="12" t="str">
        <f t="shared" si="34"/>
        <v>Pernis apivorus (Linnaeus, 1758)</v>
      </c>
      <c r="L142" s="12" t="str">
        <f t="shared" si="35"/>
        <v>Animalia|Chordata|Aves|Accipitriformes|Accipitridae|Pernis</v>
      </c>
      <c r="M142" s="12" t="s">
        <v>59</v>
      </c>
      <c r="N142" s="12" t="s">
        <v>60</v>
      </c>
      <c r="O142" s="12" t="s">
        <v>61</v>
      </c>
      <c r="P142" s="12" t="s">
        <v>189</v>
      </c>
      <c r="Q142" s="12" t="s">
        <v>190</v>
      </c>
      <c r="R142" s="12" t="s">
        <v>891</v>
      </c>
      <c r="S142" s="12" t="s">
        <v>195</v>
      </c>
      <c r="T142" s="12" t="s">
        <v>66</v>
      </c>
      <c r="U142" s="12" t="s">
        <v>196</v>
      </c>
      <c r="V142" s="12" t="s">
        <v>1165</v>
      </c>
      <c r="W142" s="12" t="s">
        <v>68</v>
      </c>
      <c r="X142" s="12">
        <v>40.970559000000002</v>
      </c>
      <c r="Y142" s="12">
        <v>13.054792000000001</v>
      </c>
      <c r="Z142" s="14" t="s">
        <v>69</v>
      </c>
      <c r="AA142" s="12">
        <v>834</v>
      </c>
      <c r="AB142" s="12" t="str">
        <f t="shared" si="38"/>
        <v>40.970559/13.054792</v>
      </c>
      <c r="AC142" s="13" t="s">
        <v>1473</v>
      </c>
      <c r="AD142" s="25">
        <v>46054</v>
      </c>
      <c r="AE142" s="14" t="s">
        <v>70</v>
      </c>
      <c r="AF142" s="14" t="s">
        <v>71</v>
      </c>
      <c r="AG142" s="14" t="s">
        <v>72</v>
      </c>
      <c r="AH142" s="12" t="str">
        <f t="shared" si="36"/>
        <v>Europa | Italy | Piedmont | Certosa di Pesio</v>
      </c>
      <c r="AI142" s="12" t="s">
        <v>73</v>
      </c>
      <c r="AJ142" s="12"/>
      <c r="AK142" s="12" t="s">
        <v>74</v>
      </c>
      <c r="AL142" s="12" t="str">
        <f t="shared" si="39"/>
        <v>ITA</v>
      </c>
      <c r="AM142" s="12" t="s">
        <v>90</v>
      </c>
      <c r="AN142" s="12" t="s">
        <v>495</v>
      </c>
      <c r="AO142" s="12" t="s">
        <v>57</v>
      </c>
      <c r="AP142" s="12" t="s">
        <v>77</v>
      </c>
      <c r="AQ142" s="12" t="s">
        <v>78</v>
      </c>
      <c r="AR142" s="12" t="s">
        <v>79</v>
      </c>
      <c r="AS142" s="12" t="s">
        <v>1312</v>
      </c>
      <c r="AT142" s="12" t="s">
        <v>80</v>
      </c>
      <c r="AU142" s="12" t="s">
        <v>494</v>
      </c>
      <c r="AV142" s="12">
        <v>1</v>
      </c>
      <c r="AW142" s="12">
        <v>1</v>
      </c>
      <c r="AX142" s="12" t="s">
        <v>81</v>
      </c>
      <c r="AY142" s="12" t="s">
        <v>82</v>
      </c>
      <c r="AZ142" s="12" t="s">
        <v>83</v>
      </c>
      <c r="BA142" s="12" t="s">
        <v>84</v>
      </c>
      <c r="BB142" s="12"/>
      <c r="BC142" s="27" t="s">
        <v>1767</v>
      </c>
      <c r="BD142" s="27" t="s">
        <v>1768</v>
      </c>
      <c r="BE142" s="12"/>
    </row>
    <row r="143" spans="1:57" x14ac:dyDescent="0.25">
      <c r="A143" s="12" t="s">
        <v>494</v>
      </c>
      <c r="B143" s="12" t="s">
        <v>57</v>
      </c>
      <c r="C143" s="12">
        <v>1920</v>
      </c>
      <c r="D143" s="12"/>
      <c r="E143" s="23"/>
      <c r="F143" s="12">
        <f t="shared" si="31"/>
        <v>1920</v>
      </c>
      <c r="G143" s="12"/>
      <c r="H143" s="12"/>
      <c r="I143" s="24">
        <f t="shared" si="37"/>
        <v>1920</v>
      </c>
      <c r="J143" s="12" t="s">
        <v>58</v>
      </c>
      <c r="K143" s="12" t="str">
        <f t="shared" si="34"/>
        <v>Milvus milvus (Linnaeus, 1758)</v>
      </c>
      <c r="L143" s="12" t="str">
        <f t="shared" si="35"/>
        <v>Animalia|Chordata|Aves|Accipitriformes|Accipitridae|Milvus</v>
      </c>
      <c r="M143" s="12" t="s">
        <v>59</v>
      </c>
      <c r="N143" s="12" t="s">
        <v>60</v>
      </c>
      <c r="O143" s="12" t="s">
        <v>61</v>
      </c>
      <c r="P143" s="12" t="s">
        <v>189</v>
      </c>
      <c r="Q143" s="12" t="s">
        <v>190</v>
      </c>
      <c r="R143" s="12" t="s">
        <v>937</v>
      </c>
      <c r="S143" s="12" t="s">
        <v>497</v>
      </c>
      <c r="T143" s="12" t="s">
        <v>66</v>
      </c>
      <c r="U143" s="12" t="s">
        <v>498</v>
      </c>
      <c r="V143" s="12"/>
      <c r="W143" s="12" t="s">
        <v>68</v>
      </c>
      <c r="X143" s="12">
        <v>41.722408999999999</v>
      </c>
      <c r="Y143" s="12">
        <v>12.396117</v>
      </c>
      <c r="Z143" s="14" t="s">
        <v>69</v>
      </c>
      <c r="AA143" s="12">
        <v>635</v>
      </c>
      <c r="AB143" s="12" t="str">
        <f t="shared" si="38"/>
        <v>41.722409/12.396117</v>
      </c>
      <c r="AC143" s="13" t="s">
        <v>1473</v>
      </c>
      <c r="AD143" s="25">
        <v>46054</v>
      </c>
      <c r="AE143" s="14" t="s">
        <v>70</v>
      </c>
      <c r="AF143" s="14" t="s">
        <v>71</v>
      </c>
      <c r="AG143" s="14" t="s">
        <v>72</v>
      </c>
      <c r="AH143" s="12" t="str">
        <f t="shared" si="36"/>
        <v>Europa | Italy | Lazio | Castelporziano</v>
      </c>
      <c r="AI143" s="12" t="s">
        <v>73</v>
      </c>
      <c r="AJ143" s="12"/>
      <c r="AK143" s="12" t="s">
        <v>74</v>
      </c>
      <c r="AL143" s="12" t="str">
        <f t="shared" si="39"/>
        <v>ITA</v>
      </c>
      <c r="AM143" s="12" t="s">
        <v>75</v>
      </c>
      <c r="AN143" s="12" t="s">
        <v>76</v>
      </c>
      <c r="AO143" s="12" t="s">
        <v>57</v>
      </c>
      <c r="AP143" s="12" t="s">
        <v>77</v>
      </c>
      <c r="AQ143" s="12" t="s">
        <v>78</v>
      </c>
      <c r="AR143" s="12" t="s">
        <v>79</v>
      </c>
      <c r="AS143" s="12" t="s">
        <v>1313</v>
      </c>
      <c r="AT143" s="12"/>
      <c r="AU143" s="12" t="s">
        <v>496</v>
      </c>
      <c r="AV143" s="12">
        <v>1</v>
      </c>
      <c r="AW143" s="12">
        <v>1</v>
      </c>
      <c r="AX143" s="12" t="s">
        <v>81</v>
      </c>
      <c r="AY143" s="12" t="s">
        <v>82</v>
      </c>
      <c r="AZ143" s="12" t="s">
        <v>83</v>
      </c>
      <c r="BA143" s="12" t="s">
        <v>84</v>
      </c>
      <c r="BB143" s="12"/>
      <c r="BC143" s="27" t="s">
        <v>1769</v>
      </c>
      <c r="BD143" s="27" t="s">
        <v>1770</v>
      </c>
      <c r="BE143" s="12" t="s">
        <v>1476</v>
      </c>
    </row>
    <row r="144" spans="1:57" x14ac:dyDescent="0.25">
      <c r="A144" s="12" t="s">
        <v>496</v>
      </c>
      <c r="B144" s="12" t="s">
        <v>57</v>
      </c>
      <c r="C144" s="25">
        <v>7063</v>
      </c>
      <c r="D144" s="12">
        <f t="shared" si="29"/>
        <v>123</v>
      </c>
      <c r="E144" s="23">
        <f t="shared" si="30"/>
        <v>123</v>
      </c>
      <c r="F144" s="12">
        <v>1919</v>
      </c>
      <c r="G144" s="12">
        <f t="shared" si="32"/>
        <v>5</v>
      </c>
      <c r="H144" s="12">
        <f t="shared" si="33"/>
        <v>3</v>
      </c>
      <c r="I144" s="25">
        <v>7063</v>
      </c>
      <c r="J144" s="12" t="s">
        <v>500</v>
      </c>
      <c r="K144" s="12" t="str">
        <f t="shared" si="34"/>
        <v>Milvus migrans (Boddaert, 1783)</v>
      </c>
      <c r="L144" s="12" t="str">
        <f t="shared" si="35"/>
        <v>Animalia|Chordata|Aves|Accipitriformes|Accipitridae|Milvus</v>
      </c>
      <c r="M144" s="12" t="s">
        <v>59</v>
      </c>
      <c r="N144" s="12" t="s">
        <v>60</v>
      </c>
      <c r="O144" s="12" t="s">
        <v>61</v>
      </c>
      <c r="P144" s="12" t="s">
        <v>189</v>
      </c>
      <c r="Q144" s="12" t="s">
        <v>190</v>
      </c>
      <c r="R144" s="12" t="s">
        <v>937</v>
      </c>
      <c r="S144" s="12" t="s">
        <v>501</v>
      </c>
      <c r="T144" s="12" t="s">
        <v>66</v>
      </c>
      <c r="U144" s="12" t="s">
        <v>502</v>
      </c>
      <c r="V144" s="12"/>
      <c r="W144" s="12" t="s">
        <v>68</v>
      </c>
      <c r="X144" s="12">
        <v>41.722408999999999</v>
      </c>
      <c r="Y144" s="12">
        <v>12.396117</v>
      </c>
      <c r="Z144" s="14" t="s">
        <v>69</v>
      </c>
      <c r="AA144" s="12">
        <v>6372</v>
      </c>
      <c r="AB144" s="12" t="str">
        <f t="shared" si="38"/>
        <v>41.722409/12.396117</v>
      </c>
      <c r="AC144" s="13" t="s">
        <v>1473</v>
      </c>
      <c r="AD144" s="25">
        <v>46054</v>
      </c>
      <c r="AE144" s="14" t="s">
        <v>70</v>
      </c>
      <c r="AF144" s="14" t="s">
        <v>71</v>
      </c>
      <c r="AG144" s="14" t="s">
        <v>72</v>
      </c>
      <c r="AH144" s="12" t="str">
        <f t="shared" si="36"/>
        <v>Europa | Italy | Basilicata | Policoro</v>
      </c>
      <c r="AI144" s="12" t="s">
        <v>73</v>
      </c>
      <c r="AJ144" s="12"/>
      <c r="AK144" s="12" t="s">
        <v>74</v>
      </c>
      <c r="AL144" s="12" t="str">
        <f t="shared" si="39"/>
        <v>ITA</v>
      </c>
      <c r="AM144" s="12" t="s">
        <v>503</v>
      </c>
      <c r="AN144" s="12" t="s">
        <v>504</v>
      </c>
      <c r="AO144" s="12" t="s">
        <v>57</v>
      </c>
      <c r="AP144" s="12" t="s">
        <v>77</v>
      </c>
      <c r="AQ144" s="12" t="s">
        <v>78</v>
      </c>
      <c r="AR144" s="12" t="s">
        <v>79</v>
      </c>
      <c r="AS144" s="12" t="s">
        <v>1314</v>
      </c>
      <c r="AT144" s="12" t="s">
        <v>80</v>
      </c>
      <c r="AU144" s="12" t="s">
        <v>499</v>
      </c>
      <c r="AV144" s="12">
        <v>1</v>
      </c>
      <c r="AW144" s="12">
        <v>1</v>
      </c>
      <c r="AX144" s="12" t="s">
        <v>81</v>
      </c>
      <c r="AY144" s="12" t="s">
        <v>82</v>
      </c>
      <c r="AZ144" s="12" t="s">
        <v>83</v>
      </c>
      <c r="BA144" s="12" t="s">
        <v>84</v>
      </c>
      <c r="BB144" s="12"/>
      <c r="BC144" s="27" t="s">
        <v>1771</v>
      </c>
      <c r="BD144" s="27" t="s">
        <v>1772</v>
      </c>
      <c r="BE144" s="12"/>
    </row>
    <row r="145" spans="1:57" x14ac:dyDescent="0.25">
      <c r="A145" s="12" t="s">
        <v>499</v>
      </c>
      <c r="B145" s="12" t="s">
        <v>57</v>
      </c>
      <c r="C145" s="25">
        <v>21810</v>
      </c>
      <c r="D145" s="12">
        <f t="shared" si="29"/>
        <v>260</v>
      </c>
      <c r="E145" s="23">
        <f t="shared" si="30"/>
        <v>260</v>
      </c>
      <c r="F145" s="12">
        <f t="shared" si="31"/>
        <v>1959</v>
      </c>
      <c r="G145" s="12">
        <f t="shared" si="32"/>
        <v>9</v>
      </c>
      <c r="H145" s="12">
        <f t="shared" si="33"/>
        <v>17</v>
      </c>
      <c r="I145" s="24">
        <f t="shared" si="37"/>
        <v>21810</v>
      </c>
      <c r="J145" s="12" t="s">
        <v>86</v>
      </c>
      <c r="K145" s="12" t="str">
        <f t="shared" si="34"/>
        <v>Circus cyaneus (Linnaeus, 1766)</v>
      </c>
      <c r="L145" s="12" t="str">
        <f t="shared" si="35"/>
        <v>Animalia|Chordata|Aves|Accipitriformes|Accipitridae|Circus</v>
      </c>
      <c r="M145" s="12" t="s">
        <v>59</v>
      </c>
      <c r="N145" s="12" t="s">
        <v>60</v>
      </c>
      <c r="O145" s="12" t="s">
        <v>61</v>
      </c>
      <c r="P145" s="12" t="s">
        <v>189</v>
      </c>
      <c r="Q145" s="12" t="s">
        <v>190</v>
      </c>
      <c r="R145" s="12" t="s">
        <v>892</v>
      </c>
      <c r="S145" s="12" t="s">
        <v>506</v>
      </c>
      <c r="T145" s="12" t="s">
        <v>66</v>
      </c>
      <c r="U145" s="12" t="s">
        <v>507</v>
      </c>
      <c r="V145" s="12"/>
      <c r="W145" s="12" t="s">
        <v>68</v>
      </c>
      <c r="X145" s="12">
        <v>40.216667000000001</v>
      </c>
      <c r="Y145" s="12">
        <v>16.683333000000001</v>
      </c>
      <c r="Z145" s="14" t="s">
        <v>69</v>
      </c>
      <c r="AA145" s="12">
        <v>3324</v>
      </c>
      <c r="AB145" s="12" t="str">
        <f t="shared" si="38"/>
        <v>40.216667/16.683333</v>
      </c>
      <c r="AC145" s="13" t="s">
        <v>1473</v>
      </c>
      <c r="AD145" s="25">
        <v>46054</v>
      </c>
      <c r="AE145" s="14" t="s">
        <v>70</v>
      </c>
      <c r="AF145" s="14" t="s">
        <v>71</v>
      </c>
      <c r="AG145" s="14" t="s">
        <v>72</v>
      </c>
      <c r="AH145" s="12" t="str">
        <f t="shared" si="36"/>
        <v>Europa | France | France | Saint-Dalmas-de-Tende</v>
      </c>
      <c r="AI145" s="12" t="s">
        <v>73</v>
      </c>
      <c r="AJ145" s="12"/>
      <c r="AK145" s="12" t="s">
        <v>508</v>
      </c>
      <c r="AL145" s="12" t="str">
        <f t="shared" si="39"/>
        <v>FRA</v>
      </c>
      <c r="AM145" s="12" t="s">
        <v>508</v>
      </c>
      <c r="AN145" s="12" t="s">
        <v>509</v>
      </c>
      <c r="AO145" s="12" t="s">
        <v>57</v>
      </c>
      <c r="AP145" s="12" t="s">
        <v>77</v>
      </c>
      <c r="AQ145" s="12" t="s">
        <v>78</v>
      </c>
      <c r="AR145" s="12" t="s">
        <v>79</v>
      </c>
      <c r="AS145" s="12" t="s">
        <v>1315</v>
      </c>
      <c r="AT145" s="12" t="s">
        <v>92</v>
      </c>
      <c r="AU145" s="12" t="s">
        <v>505</v>
      </c>
      <c r="AV145" s="12">
        <v>1</v>
      </c>
      <c r="AW145" s="12">
        <v>1</v>
      </c>
      <c r="AX145" s="12" t="s">
        <v>81</v>
      </c>
      <c r="AY145" s="12" t="s">
        <v>82</v>
      </c>
      <c r="AZ145" s="12" t="s">
        <v>83</v>
      </c>
      <c r="BA145" s="12" t="s">
        <v>84</v>
      </c>
      <c r="BB145" s="12"/>
      <c r="BC145" s="27" t="s">
        <v>1773</v>
      </c>
      <c r="BD145" s="27" t="s">
        <v>1774</v>
      </c>
      <c r="BE145" s="12"/>
    </row>
    <row r="146" spans="1:57" x14ac:dyDescent="0.25">
      <c r="A146" s="12" t="s">
        <v>505</v>
      </c>
      <c r="B146" s="12" t="s">
        <v>57</v>
      </c>
      <c r="C146" s="25">
        <v>21453</v>
      </c>
      <c r="D146" s="12">
        <f t="shared" si="29"/>
        <v>268</v>
      </c>
      <c r="E146" s="23">
        <f t="shared" si="30"/>
        <v>268</v>
      </c>
      <c r="F146" s="12">
        <f t="shared" si="31"/>
        <v>1958</v>
      </c>
      <c r="G146" s="12">
        <f t="shared" si="32"/>
        <v>9</v>
      </c>
      <c r="H146" s="12">
        <f t="shared" si="33"/>
        <v>25</v>
      </c>
      <c r="I146" s="24">
        <f t="shared" si="37"/>
        <v>21453</v>
      </c>
      <c r="J146" s="12" t="s">
        <v>58</v>
      </c>
      <c r="K146" s="12" t="str">
        <f t="shared" si="34"/>
        <v>Circus aeruginosus (Linnaeus, 1758)</v>
      </c>
      <c r="L146" s="12" t="str">
        <f t="shared" si="35"/>
        <v>Animalia|Chordata|Aves|Accipitriformes|Accipitridae|Circus</v>
      </c>
      <c r="M146" s="12" t="s">
        <v>59</v>
      </c>
      <c r="N146" s="12" t="s">
        <v>60</v>
      </c>
      <c r="O146" s="12" t="s">
        <v>61</v>
      </c>
      <c r="P146" s="12" t="s">
        <v>189</v>
      </c>
      <c r="Q146" s="12" t="s">
        <v>190</v>
      </c>
      <c r="R146" s="12" t="s">
        <v>892</v>
      </c>
      <c r="S146" s="12" t="s">
        <v>198</v>
      </c>
      <c r="T146" s="12" t="s">
        <v>66</v>
      </c>
      <c r="U146" s="12" t="s">
        <v>199</v>
      </c>
      <c r="V146" s="12" t="s">
        <v>1165</v>
      </c>
      <c r="W146" s="12" t="s">
        <v>68</v>
      </c>
      <c r="X146" s="12">
        <v>44.055422</v>
      </c>
      <c r="Y146" s="12">
        <v>7.5840180000000004</v>
      </c>
      <c r="Z146" s="14" t="s">
        <v>69</v>
      </c>
      <c r="AA146" s="12">
        <v>816</v>
      </c>
      <c r="AB146" s="12" t="str">
        <f t="shared" si="38"/>
        <v>44.055422/7.584018</v>
      </c>
      <c r="AC146" s="13" t="s">
        <v>1473</v>
      </c>
      <c r="AD146" s="25">
        <v>46054</v>
      </c>
      <c r="AE146" s="14" t="s">
        <v>70</v>
      </c>
      <c r="AF146" s="14" t="s">
        <v>71</v>
      </c>
      <c r="AG146" s="14" t="s">
        <v>72</v>
      </c>
      <c r="AH146" s="12" t="str">
        <f t="shared" si="36"/>
        <v>Europa | Italy | Piedmont | Dronero</v>
      </c>
      <c r="AI146" s="12" t="s">
        <v>73</v>
      </c>
      <c r="AJ146" s="12"/>
      <c r="AK146" s="12" t="s">
        <v>74</v>
      </c>
      <c r="AL146" s="12" t="str">
        <f t="shared" si="39"/>
        <v>ITA</v>
      </c>
      <c r="AM146" s="12" t="s">
        <v>90</v>
      </c>
      <c r="AN146" s="12" t="s">
        <v>511</v>
      </c>
      <c r="AO146" s="12" t="s">
        <v>57</v>
      </c>
      <c r="AP146" s="12" t="s">
        <v>77</v>
      </c>
      <c r="AQ146" s="12" t="s">
        <v>78</v>
      </c>
      <c r="AR146" s="12" t="s">
        <v>79</v>
      </c>
      <c r="AS146" s="12" t="s">
        <v>1316</v>
      </c>
      <c r="AT146" s="12" t="s">
        <v>92</v>
      </c>
      <c r="AU146" s="12" t="s">
        <v>510</v>
      </c>
      <c r="AV146" s="12">
        <v>1</v>
      </c>
      <c r="AW146" s="12">
        <v>1</v>
      </c>
      <c r="AX146" s="12" t="s">
        <v>81</v>
      </c>
      <c r="AY146" s="12" t="s">
        <v>82</v>
      </c>
      <c r="AZ146" s="12" t="s">
        <v>83</v>
      </c>
      <c r="BA146" s="12" t="s">
        <v>84</v>
      </c>
      <c r="BB146" s="12"/>
      <c r="BC146" s="27" t="s">
        <v>1775</v>
      </c>
      <c r="BD146" s="27" t="s">
        <v>1776</v>
      </c>
      <c r="BE146" s="12"/>
    </row>
    <row r="147" spans="1:57" x14ac:dyDescent="0.25">
      <c r="A147" s="12" t="s">
        <v>510</v>
      </c>
      <c r="B147" s="12" t="s">
        <v>57</v>
      </c>
      <c r="C147" s="25">
        <v>22182</v>
      </c>
      <c r="D147" s="12">
        <f t="shared" si="29"/>
        <v>267</v>
      </c>
      <c r="E147" s="23">
        <f t="shared" si="30"/>
        <v>267</v>
      </c>
      <c r="F147" s="12">
        <f t="shared" si="31"/>
        <v>1960</v>
      </c>
      <c r="G147" s="12">
        <f t="shared" si="32"/>
        <v>9</v>
      </c>
      <c r="H147" s="12">
        <f t="shared" si="33"/>
        <v>23</v>
      </c>
      <c r="I147" s="24">
        <f t="shared" si="37"/>
        <v>22182</v>
      </c>
      <c r="J147" s="12" t="s">
        <v>58</v>
      </c>
      <c r="K147" s="12" t="str">
        <f t="shared" si="34"/>
        <v>Astur gentilis (Linnaeus, 1758)</v>
      </c>
      <c r="L147" s="12" t="str">
        <f t="shared" si="35"/>
        <v>Animalia|Chordata|Aves|Accipitriformes|Accipitridae|Astur</v>
      </c>
      <c r="M147" s="12" t="s">
        <v>59</v>
      </c>
      <c r="N147" s="12" t="s">
        <v>60</v>
      </c>
      <c r="O147" s="12" t="s">
        <v>61</v>
      </c>
      <c r="P147" s="12" t="s">
        <v>189</v>
      </c>
      <c r="Q147" s="12" t="s">
        <v>190</v>
      </c>
      <c r="R147" s="12" t="s">
        <v>938</v>
      </c>
      <c r="S147" s="12" t="s">
        <v>513</v>
      </c>
      <c r="T147" s="12" t="s">
        <v>66</v>
      </c>
      <c r="U147" s="12" t="s">
        <v>514</v>
      </c>
      <c r="V147" s="12" t="s">
        <v>1165</v>
      </c>
      <c r="W147" s="12" t="s">
        <v>68</v>
      </c>
      <c r="X147" s="12">
        <v>44.466054</v>
      </c>
      <c r="Y147" s="12">
        <v>7.3698430000000004</v>
      </c>
      <c r="Z147" s="14" t="s">
        <v>69</v>
      </c>
      <c r="AA147" s="12">
        <v>785</v>
      </c>
      <c r="AB147" s="12" t="str">
        <f t="shared" si="38"/>
        <v>44.466054/7.369843</v>
      </c>
      <c r="AC147" s="13" t="s">
        <v>1473</v>
      </c>
      <c r="AD147" s="25">
        <v>46054</v>
      </c>
      <c r="AE147" s="14" t="s">
        <v>70</v>
      </c>
      <c r="AF147" s="14" t="s">
        <v>71</v>
      </c>
      <c r="AG147" s="14" t="s">
        <v>72</v>
      </c>
      <c r="AH147" s="12" t="str">
        <f t="shared" si="36"/>
        <v>Europa | Italy | Piedmont | Limone Piemonte</v>
      </c>
      <c r="AI147" s="12" t="s">
        <v>73</v>
      </c>
      <c r="AJ147" s="12"/>
      <c r="AK147" s="12" t="s">
        <v>74</v>
      </c>
      <c r="AL147" s="12" t="str">
        <f t="shared" si="39"/>
        <v>ITA</v>
      </c>
      <c r="AM147" s="12" t="s">
        <v>90</v>
      </c>
      <c r="AN147" s="12" t="s">
        <v>91</v>
      </c>
      <c r="AO147" s="12" t="s">
        <v>57</v>
      </c>
      <c r="AP147" s="12" t="s">
        <v>77</v>
      </c>
      <c r="AQ147" s="12" t="s">
        <v>78</v>
      </c>
      <c r="AR147" s="12" t="s">
        <v>79</v>
      </c>
      <c r="AS147" s="12" t="s">
        <v>1317</v>
      </c>
      <c r="AT147" s="12" t="s">
        <v>80</v>
      </c>
      <c r="AU147" s="12" t="s">
        <v>512</v>
      </c>
      <c r="AV147" s="12">
        <v>1</v>
      </c>
      <c r="AW147" s="12">
        <v>1</v>
      </c>
      <c r="AX147" s="12" t="s">
        <v>81</v>
      </c>
      <c r="AY147" s="12" t="s">
        <v>82</v>
      </c>
      <c r="AZ147" s="12" t="s">
        <v>83</v>
      </c>
      <c r="BA147" s="12" t="s">
        <v>93</v>
      </c>
      <c r="BB147" s="12"/>
      <c r="BC147" s="27" t="s">
        <v>1777</v>
      </c>
      <c r="BD147" s="27" t="s">
        <v>1778</v>
      </c>
      <c r="BE147" s="12"/>
    </row>
    <row r="148" spans="1:57" x14ac:dyDescent="0.25">
      <c r="A148" s="12" t="s">
        <v>512</v>
      </c>
      <c r="B148" s="12" t="s">
        <v>57</v>
      </c>
      <c r="C148" s="25">
        <v>21252</v>
      </c>
      <c r="D148" s="12">
        <f t="shared" si="29"/>
        <v>67</v>
      </c>
      <c r="E148" s="23">
        <f t="shared" si="30"/>
        <v>67</v>
      </c>
      <c r="F148" s="12">
        <f t="shared" si="31"/>
        <v>1958</v>
      </c>
      <c r="G148" s="12">
        <f t="shared" si="32"/>
        <v>3</v>
      </c>
      <c r="H148" s="12">
        <f t="shared" si="33"/>
        <v>8</v>
      </c>
      <c r="I148" s="24">
        <f t="shared" si="37"/>
        <v>21252</v>
      </c>
      <c r="J148" s="12" t="s">
        <v>58</v>
      </c>
      <c r="K148" s="12" t="str">
        <f t="shared" si="34"/>
        <v>Astur gentilis (Linnaeus, 1758)</v>
      </c>
      <c r="L148" s="12" t="str">
        <f t="shared" si="35"/>
        <v>Animalia|Chordata|Aves|Accipitriformes|Accipitridae|Astur</v>
      </c>
      <c r="M148" s="12" t="s">
        <v>59</v>
      </c>
      <c r="N148" s="12" t="s">
        <v>60</v>
      </c>
      <c r="O148" s="12" t="s">
        <v>61</v>
      </c>
      <c r="P148" s="12" t="s">
        <v>189</v>
      </c>
      <c r="Q148" s="12" t="s">
        <v>190</v>
      </c>
      <c r="R148" s="12" t="s">
        <v>938</v>
      </c>
      <c r="S148" s="12" t="s">
        <v>513</v>
      </c>
      <c r="T148" s="12" t="s">
        <v>66</v>
      </c>
      <c r="U148" s="12" t="s">
        <v>514</v>
      </c>
      <c r="V148" s="12" t="s">
        <v>1165</v>
      </c>
      <c r="W148" s="12" t="s">
        <v>68</v>
      </c>
      <c r="X148" s="12">
        <v>44.200369000000002</v>
      </c>
      <c r="Y148" s="12">
        <v>7.5717309999999998</v>
      </c>
      <c r="Z148" s="14" t="s">
        <v>69</v>
      </c>
      <c r="AA148" s="12">
        <v>1470</v>
      </c>
      <c r="AB148" s="12" t="str">
        <f t="shared" si="38"/>
        <v>44.200369/7.571731</v>
      </c>
      <c r="AC148" s="13" t="s">
        <v>1473</v>
      </c>
      <c r="AD148" s="25">
        <v>46054</v>
      </c>
      <c r="AE148" s="14" t="s">
        <v>70</v>
      </c>
      <c r="AF148" s="14" t="s">
        <v>71</v>
      </c>
      <c r="AG148" s="14" t="s">
        <v>72</v>
      </c>
      <c r="AH148" s="12" t="str">
        <f t="shared" si="36"/>
        <v>Europa | Italy | Piedmont | Limone Piemonte</v>
      </c>
      <c r="AI148" s="12" t="s">
        <v>73</v>
      </c>
      <c r="AJ148" s="12"/>
      <c r="AK148" s="12" t="s">
        <v>74</v>
      </c>
      <c r="AL148" s="12" t="str">
        <f t="shared" si="39"/>
        <v>ITA</v>
      </c>
      <c r="AM148" s="12" t="s">
        <v>90</v>
      </c>
      <c r="AN148" s="12" t="s">
        <v>91</v>
      </c>
      <c r="AO148" s="12" t="s">
        <v>57</v>
      </c>
      <c r="AP148" s="12" t="s">
        <v>77</v>
      </c>
      <c r="AQ148" s="12" t="s">
        <v>78</v>
      </c>
      <c r="AR148" s="12" t="s">
        <v>79</v>
      </c>
      <c r="AS148" s="12" t="s">
        <v>1318</v>
      </c>
      <c r="AT148" s="12" t="s">
        <v>80</v>
      </c>
      <c r="AU148" s="12" t="s">
        <v>515</v>
      </c>
      <c r="AV148" s="12">
        <v>1</v>
      </c>
      <c r="AW148" s="12">
        <v>1</v>
      </c>
      <c r="AX148" s="12" t="s">
        <v>81</v>
      </c>
      <c r="AY148" s="12" t="s">
        <v>82</v>
      </c>
      <c r="AZ148" s="12" t="s">
        <v>83</v>
      </c>
      <c r="BA148" s="12" t="s">
        <v>84</v>
      </c>
      <c r="BB148" s="12"/>
      <c r="BC148" s="27" t="s">
        <v>1779</v>
      </c>
      <c r="BD148" s="27" t="s">
        <v>1780</v>
      </c>
      <c r="BE148" s="12"/>
    </row>
    <row r="149" spans="1:57" x14ac:dyDescent="0.25">
      <c r="A149" s="12" t="s">
        <v>515</v>
      </c>
      <c r="B149" s="12" t="s">
        <v>57</v>
      </c>
      <c r="C149" s="25" t="s">
        <v>517</v>
      </c>
      <c r="D149" s="12" t="str">
        <f t="shared" si="29"/>
        <v/>
      </c>
      <c r="E149" s="23" t="str">
        <f t="shared" si="30"/>
        <v/>
      </c>
      <c r="F149" s="12">
        <v>1890</v>
      </c>
      <c r="G149" s="12" t="str">
        <f t="shared" si="32"/>
        <v/>
      </c>
      <c r="H149" s="12" t="str">
        <f t="shared" si="33"/>
        <v/>
      </c>
      <c r="I149" s="24" t="str">
        <f t="shared" si="37"/>
        <v>05/01/1890</v>
      </c>
      <c r="J149" s="12" t="s">
        <v>58</v>
      </c>
      <c r="K149" s="12" t="str">
        <f t="shared" si="34"/>
        <v>Buteo buteo (Linnaeus, 1758)</v>
      </c>
      <c r="L149" s="12" t="str">
        <f t="shared" si="35"/>
        <v>Animalia|Chordata|Aves|Accipitriformes|Accipitridae|Buteo</v>
      </c>
      <c r="M149" s="12" t="s">
        <v>59</v>
      </c>
      <c r="N149" s="12" t="s">
        <v>60</v>
      </c>
      <c r="O149" s="12" t="s">
        <v>61</v>
      </c>
      <c r="P149" s="12" t="s">
        <v>189</v>
      </c>
      <c r="Q149" s="12" t="s">
        <v>190</v>
      </c>
      <c r="R149" s="12" t="s">
        <v>890</v>
      </c>
      <c r="S149" s="12" t="s">
        <v>191</v>
      </c>
      <c r="T149" s="12" t="s">
        <v>66</v>
      </c>
      <c r="U149" s="12" t="s">
        <v>192</v>
      </c>
      <c r="V149" s="12" t="s">
        <v>1165</v>
      </c>
      <c r="W149" s="12" t="s">
        <v>68</v>
      </c>
      <c r="X149" s="12">
        <v>44.200369000000002</v>
      </c>
      <c r="Y149" s="12">
        <v>7.5717309999999998</v>
      </c>
      <c r="Z149" s="14" t="s">
        <v>69</v>
      </c>
      <c r="AA149" s="12">
        <v>1470</v>
      </c>
      <c r="AB149" s="12" t="str">
        <f t="shared" si="38"/>
        <v>44.200369/7.571731</v>
      </c>
      <c r="AC149" s="13" t="s">
        <v>1473</v>
      </c>
      <c r="AD149" s="25">
        <v>46054</v>
      </c>
      <c r="AE149" s="14" t="s">
        <v>70</v>
      </c>
      <c r="AF149" s="14" t="s">
        <v>71</v>
      </c>
      <c r="AG149" s="14" t="s">
        <v>72</v>
      </c>
      <c r="AH149" s="12" t="str">
        <f t="shared" si="36"/>
        <v>Europa | Italy | Lazio | Casal de' Pazzi</v>
      </c>
      <c r="AI149" s="12" t="s">
        <v>73</v>
      </c>
      <c r="AJ149" s="12"/>
      <c r="AK149" s="12" t="s">
        <v>74</v>
      </c>
      <c r="AL149" s="12" t="str">
        <f t="shared" si="39"/>
        <v>ITA</v>
      </c>
      <c r="AM149" s="12" t="s">
        <v>75</v>
      </c>
      <c r="AN149" s="12" t="s">
        <v>518</v>
      </c>
      <c r="AO149" s="12" t="s">
        <v>57</v>
      </c>
      <c r="AP149" s="12" t="s">
        <v>77</v>
      </c>
      <c r="AQ149" s="12" t="s">
        <v>78</v>
      </c>
      <c r="AR149" s="12" t="s">
        <v>79</v>
      </c>
      <c r="AS149" s="12" t="s">
        <v>1319</v>
      </c>
      <c r="AT149" s="12" t="s">
        <v>92</v>
      </c>
      <c r="AU149" s="12" t="s">
        <v>516</v>
      </c>
      <c r="AV149" s="12">
        <v>1</v>
      </c>
      <c r="AW149" s="12">
        <v>1</v>
      </c>
      <c r="AX149" s="12" t="s">
        <v>81</v>
      </c>
      <c r="AY149" s="12" t="s">
        <v>82</v>
      </c>
      <c r="AZ149" s="12" t="s">
        <v>83</v>
      </c>
      <c r="BA149" s="12" t="s">
        <v>84</v>
      </c>
      <c r="BB149" s="12"/>
      <c r="BC149" s="27" t="s">
        <v>1781</v>
      </c>
      <c r="BD149" s="27" t="s">
        <v>1782</v>
      </c>
      <c r="BE149" s="12"/>
    </row>
    <row r="150" spans="1:57" x14ac:dyDescent="0.25">
      <c r="A150" s="12" t="s">
        <v>516</v>
      </c>
      <c r="B150" s="12" t="s">
        <v>57</v>
      </c>
      <c r="C150" s="25">
        <v>22175</v>
      </c>
      <c r="D150" s="12">
        <f t="shared" si="29"/>
        <v>260</v>
      </c>
      <c r="E150" s="23">
        <f t="shared" si="30"/>
        <v>260</v>
      </c>
      <c r="F150" s="12">
        <f t="shared" si="31"/>
        <v>1960</v>
      </c>
      <c r="G150" s="12">
        <f t="shared" si="32"/>
        <v>9</v>
      </c>
      <c r="H150" s="12">
        <f t="shared" si="33"/>
        <v>16</v>
      </c>
      <c r="I150" s="24">
        <f t="shared" si="37"/>
        <v>22175</v>
      </c>
      <c r="J150" s="12" t="s">
        <v>58</v>
      </c>
      <c r="K150" s="12" t="str">
        <f t="shared" si="34"/>
        <v>Buteo buteo (Linnaeus, 1758)</v>
      </c>
      <c r="L150" s="12" t="str">
        <f t="shared" si="35"/>
        <v>Animalia|Chordata|Aves|Accipitriformes|Accipitridae|Buteo</v>
      </c>
      <c r="M150" s="12" t="s">
        <v>59</v>
      </c>
      <c r="N150" s="12" t="s">
        <v>60</v>
      </c>
      <c r="O150" s="12" t="s">
        <v>61</v>
      </c>
      <c r="P150" s="12" t="s">
        <v>189</v>
      </c>
      <c r="Q150" s="12" t="s">
        <v>190</v>
      </c>
      <c r="R150" s="12" t="s">
        <v>890</v>
      </c>
      <c r="S150" s="12" t="s">
        <v>191</v>
      </c>
      <c r="T150" s="12" t="s">
        <v>66</v>
      </c>
      <c r="U150" s="12" t="s">
        <v>192</v>
      </c>
      <c r="V150" s="12" t="s">
        <v>1165</v>
      </c>
      <c r="W150" s="12" t="s">
        <v>68</v>
      </c>
      <c r="X150" s="12">
        <v>41.927097000000003</v>
      </c>
      <c r="Y150" s="12">
        <v>12.564615999999999</v>
      </c>
      <c r="Z150" s="14" t="s">
        <v>69</v>
      </c>
      <c r="AA150" s="12">
        <v>958</v>
      </c>
      <c r="AB150" s="12" t="str">
        <f t="shared" si="38"/>
        <v>41.927097/12.564616</v>
      </c>
      <c r="AC150" s="13" t="s">
        <v>1473</v>
      </c>
      <c r="AD150" s="25">
        <v>46054</v>
      </c>
      <c r="AE150" s="14" t="s">
        <v>70</v>
      </c>
      <c r="AF150" s="14" t="s">
        <v>71</v>
      </c>
      <c r="AG150" s="14" t="s">
        <v>72</v>
      </c>
      <c r="AH150" s="12" t="str">
        <f t="shared" si="36"/>
        <v>Europa | Italy | Piedmont | Robilante</v>
      </c>
      <c r="AI150" s="12" t="s">
        <v>73</v>
      </c>
      <c r="AJ150" s="12"/>
      <c r="AK150" s="12" t="s">
        <v>74</v>
      </c>
      <c r="AL150" s="12" t="str">
        <f t="shared" si="39"/>
        <v>ITA</v>
      </c>
      <c r="AM150" s="12" t="s">
        <v>90</v>
      </c>
      <c r="AN150" s="12" t="s">
        <v>520</v>
      </c>
      <c r="AO150" s="12" t="s">
        <v>57</v>
      </c>
      <c r="AP150" s="12" t="s">
        <v>77</v>
      </c>
      <c r="AQ150" s="12" t="s">
        <v>78</v>
      </c>
      <c r="AR150" s="12" t="s">
        <v>79</v>
      </c>
      <c r="AS150" s="12" t="s">
        <v>1320</v>
      </c>
      <c r="AT150" s="12"/>
      <c r="AU150" s="12" t="s">
        <v>519</v>
      </c>
      <c r="AV150" s="12">
        <v>1</v>
      </c>
      <c r="AW150" s="12">
        <v>1</v>
      </c>
      <c r="AX150" s="12" t="s">
        <v>81</v>
      </c>
      <c r="AY150" s="12" t="s">
        <v>82</v>
      </c>
      <c r="AZ150" s="12" t="s">
        <v>83</v>
      </c>
      <c r="BA150" s="12" t="s">
        <v>84</v>
      </c>
      <c r="BB150" s="12"/>
      <c r="BC150" s="27" t="s">
        <v>1783</v>
      </c>
      <c r="BD150" s="27" t="s">
        <v>1784</v>
      </c>
      <c r="BE150" s="12"/>
    </row>
    <row r="151" spans="1:57" x14ac:dyDescent="0.25">
      <c r="A151" s="12" t="s">
        <v>519</v>
      </c>
      <c r="B151" s="12" t="s">
        <v>57</v>
      </c>
      <c r="C151" s="12">
        <v>1902</v>
      </c>
      <c r="D151" s="12"/>
      <c r="E151" s="23"/>
      <c r="F151" s="12">
        <f t="shared" si="31"/>
        <v>1902</v>
      </c>
      <c r="G151" s="12"/>
      <c r="H151" s="12"/>
      <c r="I151" s="24">
        <f t="shared" si="37"/>
        <v>1902</v>
      </c>
      <c r="J151" s="12" t="s">
        <v>58</v>
      </c>
      <c r="K151" s="12" t="str">
        <f t="shared" si="34"/>
        <v>Aquila chrysaetos (Linnaeus, 1758)</v>
      </c>
      <c r="L151" s="12" t="str">
        <f t="shared" si="35"/>
        <v>Animalia|Chordata|Aves|Accipitriformes|Accipitridae|Aquila</v>
      </c>
      <c r="M151" s="12" t="s">
        <v>59</v>
      </c>
      <c r="N151" s="12" t="s">
        <v>60</v>
      </c>
      <c r="O151" s="12" t="s">
        <v>61</v>
      </c>
      <c r="P151" s="12" t="s">
        <v>189</v>
      </c>
      <c r="Q151" s="12" t="s">
        <v>190</v>
      </c>
      <c r="R151" s="12" t="s">
        <v>939</v>
      </c>
      <c r="S151" s="12" t="s">
        <v>522</v>
      </c>
      <c r="T151" s="12" t="s">
        <v>66</v>
      </c>
      <c r="U151" s="12" t="s">
        <v>523</v>
      </c>
      <c r="V151" s="12"/>
      <c r="W151" s="12" t="s">
        <v>68</v>
      </c>
      <c r="X151" s="12">
        <v>41.9</v>
      </c>
      <c r="Y151" s="12">
        <v>12.483333</v>
      </c>
      <c r="Z151" s="14" t="s">
        <v>69</v>
      </c>
      <c r="AA151" s="12">
        <v>1355</v>
      </c>
      <c r="AB151" s="12" t="str">
        <f t="shared" si="38"/>
        <v>41.9/12.483333</v>
      </c>
      <c r="AC151" s="13" t="s">
        <v>1473</v>
      </c>
      <c r="AD151" s="25">
        <v>46054</v>
      </c>
      <c r="AE151" s="14" t="s">
        <v>70</v>
      </c>
      <c r="AF151" s="14" t="s">
        <v>71</v>
      </c>
      <c r="AG151" s="14" t="s">
        <v>72</v>
      </c>
      <c r="AH151" s="12" t="str">
        <f t="shared" si="36"/>
        <v>Europa | Italy | Lazio | Rome</v>
      </c>
      <c r="AI151" s="12" t="s">
        <v>73</v>
      </c>
      <c r="AJ151" s="12"/>
      <c r="AK151" s="12" t="s">
        <v>74</v>
      </c>
      <c r="AL151" s="12" t="str">
        <f t="shared" si="39"/>
        <v>ITA</v>
      </c>
      <c r="AM151" s="12" t="s">
        <v>75</v>
      </c>
      <c r="AN151" s="12" t="s">
        <v>153</v>
      </c>
      <c r="AO151" s="12" t="s">
        <v>57</v>
      </c>
      <c r="AP151" s="12" t="s">
        <v>77</v>
      </c>
      <c r="AQ151" s="12" t="s">
        <v>78</v>
      </c>
      <c r="AR151" s="12" t="s">
        <v>79</v>
      </c>
      <c r="AS151" s="12" t="s">
        <v>1321</v>
      </c>
      <c r="AT151" s="12"/>
      <c r="AU151" s="12" t="s">
        <v>521</v>
      </c>
      <c r="AV151" s="12">
        <v>1</v>
      </c>
      <c r="AW151" s="12">
        <v>1</v>
      </c>
      <c r="AX151" s="12" t="s">
        <v>81</v>
      </c>
      <c r="AY151" s="12" t="s">
        <v>82</v>
      </c>
      <c r="AZ151" s="12" t="s">
        <v>83</v>
      </c>
      <c r="BA151" s="12" t="s">
        <v>84</v>
      </c>
      <c r="BB151" s="12"/>
      <c r="BC151" s="27" t="s">
        <v>1785</v>
      </c>
      <c r="BD151" s="27" t="s">
        <v>1786</v>
      </c>
      <c r="BE151" s="12"/>
    </row>
    <row r="152" spans="1:57" x14ac:dyDescent="0.25">
      <c r="A152" s="12" t="s">
        <v>521</v>
      </c>
      <c r="B152" s="12" t="s">
        <v>57</v>
      </c>
      <c r="C152" s="12">
        <v>1898</v>
      </c>
      <c r="D152" s="12"/>
      <c r="E152" s="23"/>
      <c r="F152" s="12">
        <f t="shared" si="31"/>
        <v>1898</v>
      </c>
      <c r="G152" s="12"/>
      <c r="H152" s="12"/>
      <c r="I152" s="24">
        <f t="shared" si="37"/>
        <v>1898</v>
      </c>
      <c r="J152" s="12" t="s">
        <v>58</v>
      </c>
      <c r="K152" s="12" t="str">
        <f t="shared" si="34"/>
        <v>Bubo bubo (Linnaeus, 1758)</v>
      </c>
      <c r="L152" s="12" t="str">
        <f t="shared" si="35"/>
        <v>Animalia|Chordata|Aves|Strigiformes|Strigidae|Bubo</v>
      </c>
      <c r="M152" s="12" t="s">
        <v>59</v>
      </c>
      <c r="N152" s="12" t="s">
        <v>60</v>
      </c>
      <c r="O152" s="12" t="s">
        <v>61</v>
      </c>
      <c r="P152" s="12" t="s">
        <v>241</v>
      </c>
      <c r="Q152" s="12" t="s">
        <v>242</v>
      </c>
      <c r="R152" s="12" t="s">
        <v>902</v>
      </c>
      <c r="S152" s="12" t="s">
        <v>246</v>
      </c>
      <c r="T152" s="12" t="s">
        <v>66</v>
      </c>
      <c r="U152" s="12" t="s">
        <v>247</v>
      </c>
      <c r="V152" s="12"/>
      <c r="W152" s="12" t="s">
        <v>68</v>
      </c>
      <c r="X152" s="12">
        <v>41.9</v>
      </c>
      <c r="Y152" s="12">
        <v>12.483333</v>
      </c>
      <c r="Z152" s="14" t="s">
        <v>69</v>
      </c>
      <c r="AA152" s="12">
        <v>36625</v>
      </c>
      <c r="AB152" s="12" t="str">
        <f t="shared" si="38"/>
        <v>41.9/12.483333</v>
      </c>
      <c r="AC152" s="13" t="s">
        <v>1473</v>
      </c>
      <c r="AD152" s="25">
        <v>46054</v>
      </c>
      <c r="AE152" s="14" t="s">
        <v>70</v>
      </c>
      <c r="AF152" s="14" t="s">
        <v>71</v>
      </c>
      <c r="AG152" s="14" t="s">
        <v>72</v>
      </c>
      <c r="AH152" s="12" t="str">
        <f t="shared" si="36"/>
        <v>Europa | Italy | Lazio | Rome</v>
      </c>
      <c r="AI152" s="12" t="s">
        <v>73</v>
      </c>
      <c r="AJ152" s="12"/>
      <c r="AK152" s="12" t="s">
        <v>74</v>
      </c>
      <c r="AL152" s="12" t="str">
        <f t="shared" si="39"/>
        <v>ITA</v>
      </c>
      <c r="AM152" s="12" t="s">
        <v>75</v>
      </c>
      <c r="AN152" s="12" t="s">
        <v>153</v>
      </c>
      <c r="AO152" s="12" t="s">
        <v>57</v>
      </c>
      <c r="AP152" s="12" t="s">
        <v>77</v>
      </c>
      <c r="AQ152" s="12" t="s">
        <v>78</v>
      </c>
      <c r="AR152" s="12" t="s">
        <v>79</v>
      </c>
      <c r="AS152" s="12" t="s">
        <v>1322</v>
      </c>
      <c r="AT152" s="12" t="s">
        <v>80</v>
      </c>
      <c r="AU152" s="12" t="s">
        <v>524</v>
      </c>
      <c r="AV152" s="12">
        <v>1</v>
      </c>
      <c r="AW152" s="12">
        <v>1</v>
      </c>
      <c r="AX152" s="12" t="s">
        <v>81</v>
      </c>
      <c r="AY152" s="12" t="s">
        <v>82</v>
      </c>
      <c r="AZ152" s="12" t="s">
        <v>83</v>
      </c>
      <c r="BA152" s="12" t="s">
        <v>84</v>
      </c>
      <c r="BB152" s="12"/>
      <c r="BC152" s="27" t="s">
        <v>1787</v>
      </c>
      <c r="BD152" s="27" t="s">
        <v>1788</v>
      </c>
      <c r="BE152" s="12"/>
    </row>
    <row r="153" spans="1:57" x14ac:dyDescent="0.25">
      <c r="A153" s="12" t="s">
        <v>524</v>
      </c>
      <c r="B153" s="12" t="s">
        <v>57</v>
      </c>
      <c r="C153" s="25">
        <v>21437</v>
      </c>
      <c r="D153" s="12">
        <f t="shared" si="29"/>
        <v>252</v>
      </c>
      <c r="E153" s="23">
        <f t="shared" si="30"/>
        <v>252</v>
      </c>
      <c r="F153" s="12">
        <f t="shared" si="31"/>
        <v>1958</v>
      </c>
      <c r="G153" s="12">
        <f t="shared" si="32"/>
        <v>9</v>
      </c>
      <c r="H153" s="12">
        <f t="shared" si="33"/>
        <v>9</v>
      </c>
      <c r="I153" s="24">
        <f t="shared" si="37"/>
        <v>21437</v>
      </c>
      <c r="J153" s="12" t="s">
        <v>58</v>
      </c>
      <c r="K153" s="12" t="str">
        <f t="shared" si="34"/>
        <v>Caprimulgus europaeus (Linnaeus, 1758)</v>
      </c>
      <c r="L153" s="12" t="str">
        <f t="shared" si="35"/>
        <v>Animalia|Chordata|Aves|Caprimulgiformes|Caprimulgidae|Caprimulgus</v>
      </c>
      <c r="M153" s="12" t="s">
        <v>59</v>
      </c>
      <c r="N153" s="12" t="s">
        <v>60</v>
      </c>
      <c r="O153" s="12" t="s">
        <v>61</v>
      </c>
      <c r="P153" s="12" t="s">
        <v>526</v>
      </c>
      <c r="Q153" s="12" t="s">
        <v>527</v>
      </c>
      <c r="R153" s="12" t="s">
        <v>940</v>
      </c>
      <c r="S153" s="12" t="s">
        <v>528</v>
      </c>
      <c r="T153" s="12" t="s">
        <v>66</v>
      </c>
      <c r="U153" s="12" t="s">
        <v>529</v>
      </c>
      <c r="V153" s="12" t="s">
        <v>1165</v>
      </c>
      <c r="W153" s="12" t="s">
        <v>68</v>
      </c>
      <c r="X153" s="12">
        <v>41.9</v>
      </c>
      <c r="Y153" s="12">
        <v>12.483333</v>
      </c>
      <c r="Z153" s="14" t="s">
        <v>69</v>
      </c>
      <c r="AA153" s="12">
        <v>36625</v>
      </c>
      <c r="AB153" s="12" t="str">
        <f t="shared" si="38"/>
        <v>41.9/12.483333</v>
      </c>
      <c r="AC153" s="13" t="s">
        <v>1473</v>
      </c>
      <c r="AD153" s="25">
        <v>46054</v>
      </c>
      <c r="AE153" s="14" t="s">
        <v>70</v>
      </c>
      <c r="AF153" s="14" t="s">
        <v>71</v>
      </c>
      <c r="AG153" s="14" t="s">
        <v>72</v>
      </c>
      <c r="AH153" s="12" t="str">
        <f t="shared" si="36"/>
        <v>Europa | Italy | Piedmont | Borgo San Dalmazzo</v>
      </c>
      <c r="AI153" s="12" t="s">
        <v>73</v>
      </c>
      <c r="AJ153" s="12"/>
      <c r="AK153" s="12" t="s">
        <v>74</v>
      </c>
      <c r="AL153" s="12" t="str">
        <f t="shared" si="39"/>
        <v>ITA</v>
      </c>
      <c r="AM153" s="12" t="s">
        <v>90</v>
      </c>
      <c r="AN153" s="12" t="s">
        <v>160</v>
      </c>
      <c r="AO153" s="12" t="s">
        <v>57</v>
      </c>
      <c r="AP153" s="12" t="s">
        <v>77</v>
      </c>
      <c r="AQ153" s="12" t="s">
        <v>78</v>
      </c>
      <c r="AR153" s="12" t="s">
        <v>79</v>
      </c>
      <c r="AS153" s="12" t="s">
        <v>1323</v>
      </c>
      <c r="AT153" s="12" t="s">
        <v>80</v>
      </c>
      <c r="AU153" s="12" t="s">
        <v>525</v>
      </c>
      <c r="AV153" s="12">
        <v>1</v>
      </c>
      <c r="AW153" s="12">
        <v>1</v>
      </c>
      <c r="AX153" s="12" t="s">
        <v>81</v>
      </c>
      <c r="AY153" s="12" t="s">
        <v>82</v>
      </c>
      <c r="AZ153" s="12" t="s">
        <v>83</v>
      </c>
      <c r="BA153" s="12" t="s">
        <v>84</v>
      </c>
      <c r="BB153" s="12"/>
      <c r="BC153" s="27" t="s">
        <v>1789</v>
      </c>
      <c r="BD153" s="27" t="s">
        <v>1790</v>
      </c>
      <c r="BE153" s="12"/>
    </row>
    <row r="154" spans="1:57" x14ac:dyDescent="0.25">
      <c r="A154" s="12" t="s">
        <v>525</v>
      </c>
      <c r="B154" s="12" t="s">
        <v>57</v>
      </c>
      <c r="C154" s="25">
        <v>21303</v>
      </c>
      <c r="D154" s="12">
        <f t="shared" si="29"/>
        <v>118</v>
      </c>
      <c r="E154" s="23">
        <f t="shared" si="30"/>
        <v>118</v>
      </c>
      <c r="F154" s="12">
        <f t="shared" si="31"/>
        <v>1958</v>
      </c>
      <c r="G154" s="12">
        <f t="shared" si="32"/>
        <v>4</v>
      </c>
      <c r="H154" s="12">
        <f t="shared" si="33"/>
        <v>28</v>
      </c>
      <c r="I154" s="24">
        <f t="shared" si="37"/>
        <v>21303</v>
      </c>
      <c r="J154" s="12" t="s">
        <v>58</v>
      </c>
      <c r="K154" s="12" t="str">
        <f t="shared" si="34"/>
        <v>Caprimulgus europaeus (Linnaeus, 1758)</v>
      </c>
      <c r="L154" s="12" t="str">
        <f t="shared" si="35"/>
        <v>Animalia|Chordata|Aves|Caprimulgiformes|Caprimulgidae|Caprimulgus</v>
      </c>
      <c r="M154" s="12" t="s">
        <v>59</v>
      </c>
      <c r="N154" s="12" t="s">
        <v>60</v>
      </c>
      <c r="O154" s="12" t="s">
        <v>61</v>
      </c>
      <c r="P154" s="12" t="s">
        <v>526</v>
      </c>
      <c r="Q154" s="12" t="s">
        <v>527</v>
      </c>
      <c r="R154" s="12" t="s">
        <v>940</v>
      </c>
      <c r="S154" s="12" t="s">
        <v>528</v>
      </c>
      <c r="T154" s="12" t="s">
        <v>66</v>
      </c>
      <c r="U154" s="12" t="s">
        <v>529</v>
      </c>
      <c r="V154" s="12"/>
      <c r="W154" s="12" t="s">
        <v>68</v>
      </c>
      <c r="X154" s="12">
        <v>44.33014</v>
      </c>
      <c r="Y154" s="12">
        <v>7.4859239999999998</v>
      </c>
      <c r="Z154" s="14" t="s">
        <v>69</v>
      </c>
      <c r="AA154" s="12">
        <v>1929</v>
      </c>
      <c r="AB154" s="12" t="str">
        <f t="shared" si="38"/>
        <v>44.33014/7.485924</v>
      </c>
      <c r="AC154" s="13" t="s">
        <v>1473</v>
      </c>
      <c r="AD154" s="25">
        <v>46054</v>
      </c>
      <c r="AE154" s="14" t="s">
        <v>70</v>
      </c>
      <c r="AF154" s="14" t="s">
        <v>71</v>
      </c>
      <c r="AG154" s="14" t="s">
        <v>72</v>
      </c>
      <c r="AH154" s="12" t="str">
        <f t="shared" si="36"/>
        <v>Europa | Zannone | Italy | Lazio | Zannone Island</v>
      </c>
      <c r="AI154" s="12" t="s">
        <v>73</v>
      </c>
      <c r="AJ154" s="12" t="s">
        <v>1486</v>
      </c>
      <c r="AK154" s="12" t="s">
        <v>74</v>
      </c>
      <c r="AL154" s="12" t="str">
        <f t="shared" si="39"/>
        <v>ITA</v>
      </c>
      <c r="AM154" s="12" t="s">
        <v>75</v>
      </c>
      <c r="AN154" s="12" t="s">
        <v>458</v>
      </c>
      <c r="AO154" s="12" t="s">
        <v>57</v>
      </c>
      <c r="AP154" s="12" t="s">
        <v>77</v>
      </c>
      <c r="AQ154" s="12" t="s">
        <v>78</v>
      </c>
      <c r="AR154" s="12" t="s">
        <v>79</v>
      </c>
      <c r="AS154" s="12" t="s">
        <v>1324</v>
      </c>
      <c r="AT154" s="12" t="s">
        <v>80</v>
      </c>
      <c r="AU154" s="12" t="s">
        <v>530</v>
      </c>
      <c r="AV154" s="12">
        <v>1</v>
      </c>
      <c r="AW154" s="12">
        <v>1</v>
      </c>
      <c r="AX154" s="12" t="s">
        <v>81</v>
      </c>
      <c r="AY154" s="12" t="s">
        <v>82</v>
      </c>
      <c r="AZ154" s="12" t="s">
        <v>83</v>
      </c>
      <c r="BA154" s="12" t="s">
        <v>84</v>
      </c>
      <c r="BB154" s="12"/>
      <c r="BC154" s="27" t="s">
        <v>1791</v>
      </c>
      <c r="BD154" s="27" t="s">
        <v>1792</v>
      </c>
      <c r="BE154" s="12"/>
    </row>
    <row r="155" spans="1:57" x14ac:dyDescent="0.25">
      <c r="A155" s="12" t="s">
        <v>530</v>
      </c>
      <c r="B155" s="12" t="s">
        <v>57</v>
      </c>
      <c r="C155" s="12">
        <v>1901</v>
      </c>
      <c r="D155" s="12"/>
      <c r="E155" s="23"/>
      <c r="F155" s="12">
        <f t="shared" si="31"/>
        <v>1901</v>
      </c>
      <c r="G155" s="12"/>
      <c r="H155" s="12"/>
      <c r="I155" s="24">
        <f t="shared" si="37"/>
        <v>1901</v>
      </c>
      <c r="J155" s="12" t="s">
        <v>58</v>
      </c>
      <c r="K155" s="12" t="str">
        <f t="shared" si="34"/>
        <v>Caprimulgus europaeus (Linnaeus, 1758)</v>
      </c>
      <c r="L155" s="12" t="str">
        <f t="shared" si="35"/>
        <v>Animalia|Chordata|Aves|Caprimulgiformes|Caprimulgidae|Caprimulgus</v>
      </c>
      <c r="M155" s="12" t="s">
        <v>59</v>
      </c>
      <c r="N155" s="12" t="s">
        <v>60</v>
      </c>
      <c r="O155" s="12" t="s">
        <v>61</v>
      </c>
      <c r="P155" s="12" t="s">
        <v>526</v>
      </c>
      <c r="Q155" s="12" t="s">
        <v>527</v>
      </c>
      <c r="R155" s="12" t="s">
        <v>940</v>
      </c>
      <c r="S155" s="12" t="s">
        <v>528</v>
      </c>
      <c r="T155" s="12" t="s">
        <v>66</v>
      </c>
      <c r="U155" s="12" t="s">
        <v>529</v>
      </c>
      <c r="V155" s="12"/>
      <c r="W155" s="12" t="s">
        <v>68</v>
      </c>
      <c r="X155" s="12">
        <v>40.970559000000002</v>
      </c>
      <c r="Y155" s="12">
        <v>13.054792000000001</v>
      </c>
      <c r="Z155" s="14" t="s">
        <v>69</v>
      </c>
      <c r="AA155" s="12">
        <v>834</v>
      </c>
      <c r="AB155" s="12" t="str">
        <f t="shared" si="38"/>
        <v>40.970559/13.054792</v>
      </c>
      <c r="AC155" s="13" t="s">
        <v>1473</v>
      </c>
      <c r="AD155" s="25">
        <v>46054</v>
      </c>
      <c r="AE155" s="14" t="s">
        <v>70</v>
      </c>
      <c r="AF155" s="14" t="s">
        <v>71</v>
      </c>
      <c r="AG155" s="14" t="s">
        <v>72</v>
      </c>
      <c r="AH155" s="12" t="str">
        <f t="shared" si="36"/>
        <v>Europa | Zannone | Italy | Lazio | Zannone Island</v>
      </c>
      <c r="AI155" s="12" t="s">
        <v>73</v>
      </c>
      <c r="AJ155" s="12" t="s">
        <v>1486</v>
      </c>
      <c r="AK155" s="12" t="s">
        <v>74</v>
      </c>
      <c r="AL155" s="12" t="str">
        <f t="shared" si="39"/>
        <v>ITA</v>
      </c>
      <c r="AM155" s="12" t="s">
        <v>75</v>
      </c>
      <c r="AN155" s="12" t="s">
        <v>458</v>
      </c>
      <c r="AO155" s="12" t="s">
        <v>57</v>
      </c>
      <c r="AP155" s="12" t="s">
        <v>77</v>
      </c>
      <c r="AQ155" s="12" t="s">
        <v>78</v>
      </c>
      <c r="AR155" s="12" t="s">
        <v>79</v>
      </c>
      <c r="AS155" s="12" t="s">
        <v>1325</v>
      </c>
      <c r="AT155" s="12" t="s">
        <v>92</v>
      </c>
      <c r="AU155" s="12" t="s">
        <v>531</v>
      </c>
      <c r="AV155" s="12">
        <v>1</v>
      </c>
      <c r="AW155" s="12">
        <v>1</v>
      </c>
      <c r="AX155" s="12" t="s">
        <v>81</v>
      </c>
      <c r="AY155" s="12" t="s">
        <v>82</v>
      </c>
      <c r="AZ155" s="12" t="s">
        <v>83</v>
      </c>
      <c r="BA155" s="12" t="s">
        <v>84</v>
      </c>
      <c r="BB155" s="12"/>
      <c r="BC155" s="27" t="s">
        <v>1793</v>
      </c>
      <c r="BD155" s="27" t="s">
        <v>1794</v>
      </c>
      <c r="BE155" s="12"/>
    </row>
    <row r="156" spans="1:57" x14ac:dyDescent="0.25">
      <c r="A156" s="12" t="s">
        <v>531</v>
      </c>
      <c r="B156" s="12" t="s">
        <v>57</v>
      </c>
      <c r="C156" s="25">
        <v>22167</v>
      </c>
      <c r="D156" s="12">
        <f t="shared" si="29"/>
        <v>252</v>
      </c>
      <c r="E156" s="23">
        <f t="shared" si="30"/>
        <v>252</v>
      </c>
      <c r="F156" s="12">
        <f t="shared" si="31"/>
        <v>1960</v>
      </c>
      <c r="G156" s="12">
        <f t="shared" si="32"/>
        <v>9</v>
      </c>
      <c r="H156" s="12">
        <f t="shared" si="33"/>
        <v>8</v>
      </c>
      <c r="I156" s="24">
        <f t="shared" si="37"/>
        <v>22167</v>
      </c>
      <c r="J156" s="12" t="s">
        <v>58</v>
      </c>
      <c r="K156" s="12" t="str">
        <f t="shared" si="34"/>
        <v>Cuculus canorus (Linnaeus, 1758)</v>
      </c>
      <c r="L156" s="12" t="str">
        <f t="shared" si="35"/>
        <v>Animalia|Chordata|Aves|Cuculiformes|Cuculidae|Cuculus</v>
      </c>
      <c r="M156" s="12" t="s">
        <v>59</v>
      </c>
      <c r="N156" s="12" t="s">
        <v>60</v>
      </c>
      <c r="O156" s="12" t="s">
        <v>61</v>
      </c>
      <c r="P156" s="12" t="s">
        <v>533</v>
      </c>
      <c r="Q156" s="12" t="s">
        <v>534</v>
      </c>
      <c r="R156" s="12" t="s">
        <v>941</v>
      </c>
      <c r="S156" s="12" t="s">
        <v>535</v>
      </c>
      <c r="T156" s="12" t="s">
        <v>66</v>
      </c>
      <c r="U156" s="12" t="s">
        <v>536</v>
      </c>
      <c r="V156" s="12" t="s">
        <v>1165</v>
      </c>
      <c r="W156" s="12" t="s">
        <v>68</v>
      </c>
      <c r="X156" s="12">
        <v>41.722408999999999</v>
      </c>
      <c r="Y156" s="12">
        <v>12.396117</v>
      </c>
      <c r="Z156" s="14" t="s">
        <v>69</v>
      </c>
      <c r="AA156" s="12">
        <v>6372</v>
      </c>
      <c r="AB156" s="12" t="str">
        <f t="shared" si="38"/>
        <v>41.722409/12.396117</v>
      </c>
      <c r="AC156" s="13" t="s">
        <v>1473</v>
      </c>
      <c r="AD156" s="25">
        <v>46054</v>
      </c>
      <c r="AE156" s="14" t="s">
        <v>70</v>
      </c>
      <c r="AF156" s="14" t="s">
        <v>71</v>
      </c>
      <c r="AG156" s="14" t="s">
        <v>72</v>
      </c>
      <c r="AH156" s="12" t="str">
        <f t="shared" si="36"/>
        <v>Europa | Italy | Lazio | Castelporziano</v>
      </c>
      <c r="AI156" s="12" t="s">
        <v>73</v>
      </c>
      <c r="AJ156" s="12"/>
      <c r="AK156" s="12" t="s">
        <v>74</v>
      </c>
      <c r="AL156" s="12" t="str">
        <f t="shared" si="39"/>
        <v>ITA</v>
      </c>
      <c r="AM156" s="12" t="s">
        <v>75</v>
      </c>
      <c r="AN156" s="12" t="s">
        <v>76</v>
      </c>
      <c r="AO156" s="12" t="s">
        <v>57</v>
      </c>
      <c r="AP156" s="12" t="s">
        <v>77</v>
      </c>
      <c r="AQ156" s="12" t="s">
        <v>78</v>
      </c>
      <c r="AR156" s="12" t="s">
        <v>79</v>
      </c>
      <c r="AS156" s="12" t="s">
        <v>1326</v>
      </c>
      <c r="AT156" s="12" t="s">
        <v>92</v>
      </c>
      <c r="AU156" s="12" t="s">
        <v>532</v>
      </c>
      <c r="AV156" s="12">
        <v>1</v>
      </c>
      <c r="AW156" s="12">
        <v>1</v>
      </c>
      <c r="AX156" s="12" t="s">
        <v>81</v>
      </c>
      <c r="AY156" s="12" t="s">
        <v>82</v>
      </c>
      <c r="AZ156" s="12" t="s">
        <v>83</v>
      </c>
      <c r="BA156" s="12" t="s">
        <v>93</v>
      </c>
      <c r="BB156" s="12"/>
      <c r="BC156" s="27" t="s">
        <v>1795</v>
      </c>
      <c r="BD156" s="27" t="s">
        <v>1796</v>
      </c>
      <c r="BE156" s="12"/>
    </row>
    <row r="157" spans="1:57" x14ac:dyDescent="0.25">
      <c r="A157" s="12" t="s">
        <v>532</v>
      </c>
      <c r="B157" s="12" t="s">
        <v>57</v>
      </c>
      <c r="C157" s="12">
        <v>1958</v>
      </c>
      <c r="D157" s="12"/>
      <c r="E157" s="23"/>
      <c r="F157" s="12">
        <f t="shared" si="31"/>
        <v>1958</v>
      </c>
      <c r="G157" s="12"/>
      <c r="H157" s="12"/>
      <c r="I157" s="24">
        <f t="shared" si="37"/>
        <v>1958</v>
      </c>
      <c r="J157" s="12" t="s">
        <v>58</v>
      </c>
      <c r="K157" s="12" t="str">
        <f t="shared" si="34"/>
        <v>Cuculus canorus (Linnaeus, 1758)</v>
      </c>
      <c r="L157" s="12" t="str">
        <f t="shared" si="35"/>
        <v>Animalia|Chordata|Aves|Cuculiformes|Cuculidae|Cuculus</v>
      </c>
      <c r="M157" s="12" t="s">
        <v>59</v>
      </c>
      <c r="N157" s="12" t="s">
        <v>60</v>
      </c>
      <c r="O157" s="12" t="s">
        <v>61</v>
      </c>
      <c r="P157" s="12" t="s">
        <v>533</v>
      </c>
      <c r="Q157" s="12" t="s">
        <v>534</v>
      </c>
      <c r="R157" s="12" t="s">
        <v>941</v>
      </c>
      <c r="S157" s="12" t="s">
        <v>535</v>
      </c>
      <c r="T157" s="12" t="s">
        <v>66</v>
      </c>
      <c r="U157" s="12" t="s">
        <v>536</v>
      </c>
      <c r="V157" s="12"/>
      <c r="W157" s="12" t="s">
        <v>68</v>
      </c>
      <c r="X157" s="12">
        <v>44.33014</v>
      </c>
      <c r="Y157" s="12">
        <v>7.4859239999999998</v>
      </c>
      <c r="Z157" s="14" t="s">
        <v>69</v>
      </c>
      <c r="AA157" s="12">
        <v>1929</v>
      </c>
      <c r="AB157" s="12" t="str">
        <f t="shared" si="38"/>
        <v>44.33014/7.485924</v>
      </c>
      <c r="AC157" s="13" t="s">
        <v>1473</v>
      </c>
      <c r="AD157" s="25">
        <v>46054</v>
      </c>
      <c r="AE157" s="14" t="s">
        <v>70</v>
      </c>
      <c r="AF157" s="14" t="s">
        <v>71</v>
      </c>
      <c r="AG157" s="14" t="s">
        <v>72</v>
      </c>
      <c r="AH157" s="12" t="str">
        <f t="shared" si="36"/>
        <v>Italy | Piedmont | Borgo San Dalmazzo</v>
      </c>
      <c r="AI157" s="12"/>
      <c r="AJ157" s="12"/>
      <c r="AK157" s="12" t="s">
        <v>74</v>
      </c>
      <c r="AL157" s="12" t="str">
        <f t="shared" si="39"/>
        <v>ITA</v>
      </c>
      <c r="AM157" s="12" t="s">
        <v>90</v>
      </c>
      <c r="AN157" s="12" t="s">
        <v>160</v>
      </c>
      <c r="AO157" s="12" t="s">
        <v>57</v>
      </c>
      <c r="AP157" s="12" t="s">
        <v>77</v>
      </c>
      <c r="AQ157" s="12" t="s">
        <v>78</v>
      </c>
      <c r="AR157" s="12" t="s">
        <v>79</v>
      </c>
      <c r="AS157" s="12" t="s">
        <v>1327</v>
      </c>
      <c r="AT157" s="12"/>
      <c r="AU157" s="12" t="s">
        <v>537</v>
      </c>
      <c r="AV157" s="12">
        <v>1</v>
      </c>
      <c r="AW157" s="12">
        <v>1</v>
      </c>
      <c r="AX157" s="12" t="s">
        <v>81</v>
      </c>
      <c r="AY157" s="12" t="s">
        <v>82</v>
      </c>
      <c r="AZ157" s="12" t="s">
        <v>83</v>
      </c>
      <c r="BA157" s="12" t="s">
        <v>84</v>
      </c>
      <c r="BB157" s="12"/>
      <c r="BC157" s="27" t="s">
        <v>1797</v>
      </c>
      <c r="BD157" s="27" t="s">
        <v>1798</v>
      </c>
      <c r="BE157" s="12"/>
    </row>
    <row r="158" spans="1:57" x14ac:dyDescent="0.25">
      <c r="A158" s="12" t="s">
        <v>537</v>
      </c>
      <c r="B158" s="12" t="s">
        <v>57</v>
      </c>
      <c r="C158" s="12">
        <v>1891</v>
      </c>
      <c r="D158" s="12"/>
      <c r="E158" s="23"/>
      <c r="F158" s="12">
        <f t="shared" si="31"/>
        <v>1891</v>
      </c>
      <c r="G158" s="12"/>
      <c r="H158" s="12"/>
      <c r="I158" s="24">
        <f t="shared" si="37"/>
        <v>1891</v>
      </c>
      <c r="J158" s="12" t="s">
        <v>58</v>
      </c>
      <c r="K158" s="12" t="str">
        <f t="shared" si="34"/>
        <v>Cuculus canorus (Linnaeus, 1758)</v>
      </c>
      <c r="L158" s="12" t="str">
        <f t="shared" si="35"/>
        <v>Animalia|Chordata|Aves|Cuculiformes|Cuculidae|Cuculus</v>
      </c>
      <c r="M158" s="12" t="s">
        <v>59</v>
      </c>
      <c r="N158" s="12" t="s">
        <v>60</v>
      </c>
      <c r="O158" s="12" t="s">
        <v>61</v>
      </c>
      <c r="P158" s="12" t="s">
        <v>533</v>
      </c>
      <c r="Q158" s="12" t="s">
        <v>534</v>
      </c>
      <c r="R158" s="12" t="s">
        <v>941</v>
      </c>
      <c r="S158" s="12" t="s">
        <v>535</v>
      </c>
      <c r="T158" s="12" t="s">
        <v>66</v>
      </c>
      <c r="U158" s="12" t="s">
        <v>536</v>
      </c>
      <c r="V158" s="12"/>
      <c r="W158" s="12" t="s">
        <v>68</v>
      </c>
      <c r="X158" s="12">
        <v>41.999200000000002</v>
      </c>
      <c r="Y158" s="12">
        <v>12.0138</v>
      </c>
      <c r="Z158" s="14" t="s">
        <v>69</v>
      </c>
      <c r="AA158" s="12">
        <v>2500</v>
      </c>
      <c r="AB158" s="12" t="str">
        <f t="shared" si="38"/>
        <v>41.9992/12.0138</v>
      </c>
      <c r="AC158" s="13" t="s">
        <v>1473</v>
      </c>
      <c r="AD158" s="25">
        <v>46054</v>
      </c>
      <c r="AE158" s="14" t="s">
        <v>70</v>
      </c>
      <c r="AF158" s="14" t="s">
        <v>71</v>
      </c>
      <c r="AG158" s="14" t="s">
        <v>72</v>
      </c>
      <c r="AH158" s="12" t="str">
        <f t="shared" si="36"/>
        <v>Europa | Italy | Lazio | Furbara</v>
      </c>
      <c r="AI158" s="12" t="s">
        <v>73</v>
      </c>
      <c r="AJ158" s="12"/>
      <c r="AK158" s="12" t="s">
        <v>74</v>
      </c>
      <c r="AL158" s="12" t="str">
        <f t="shared" si="39"/>
        <v>ITA</v>
      </c>
      <c r="AM158" s="12" t="s">
        <v>75</v>
      </c>
      <c r="AN158" s="12" t="s">
        <v>539</v>
      </c>
      <c r="AO158" s="12" t="s">
        <v>57</v>
      </c>
      <c r="AP158" s="12" t="s">
        <v>77</v>
      </c>
      <c r="AQ158" s="12" t="s">
        <v>78</v>
      </c>
      <c r="AR158" s="12" t="s">
        <v>79</v>
      </c>
      <c r="AS158" s="12" t="s">
        <v>1328</v>
      </c>
      <c r="AT158" s="12" t="s">
        <v>92</v>
      </c>
      <c r="AU158" s="12" t="s">
        <v>538</v>
      </c>
      <c r="AV158" s="12">
        <v>1</v>
      </c>
      <c r="AW158" s="12">
        <v>1</v>
      </c>
      <c r="AX158" s="12" t="s">
        <v>81</v>
      </c>
      <c r="AY158" s="12" t="s">
        <v>82</v>
      </c>
      <c r="AZ158" s="12" t="s">
        <v>83</v>
      </c>
      <c r="BA158" s="12" t="s">
        <v>84</v>
      </c>
      <c r="BB158" s="12"/>
      <c r="BC158" s="27" t="s">
        <v>1799</v>
      </c>
      <c r="BD158" s="27" t="s">
        <v>1800</v>
      </c>
      <c r="BE158" s="12"/>
    </row>
    <row r="159" spans="1:57" x14ac:dyDescent="0.25">
      <c r="A159" s="12" t="s">
        <v>538</v>
      </c>
      <c r="B159" s="12" t="s">
        <v>57</v>
      </c>
      <c r="C159" s="12">
        <v>1896</v>
      </c>
      <c r="D159" s="12"/>
      <c r="E159" s="23"/>
      <c r="F159" s="12">
        <f t="shared" si="31"/>
        <v>1896</v>
      </c>
      <c r="G159" s="12"/>
      <c r="H159" s="12"/>
      <c r="I159" s="24">
        <v>1896</v>
      </c>
      <c r="J159" s="12" t="s">
        <v>58</v>
      </c>
      <c r="K159" s="12" t="str">
        <f t="shared" si="34"/>
        <v>Streptopelia turtur (Linnaeus, 1758)</v>
      </c>
      <c r="L159" s="12" t="str">
        <f t="shared" si="35"/>
        <v>Animalia|Chordata|Aves|Columbiformes|Columbidae|Streptopelia</v>
      </c>
      <c r="M159" s="12" t="s">
        <v>59</v>
      </c>
      <c r="N159" s="12" t="s">
        <v>60</v>
      </c>
      <c r="O159" s="12" t="s">
        <v>61</v>
      </c>
      <c r="P159" s="12" t="s">
        <v>541</v>
      </c>
      <c r="Q159" s="12" t="s">
        <v>542</v>
      </c>
      <c r="R159" s="12" t="s">
        <v>942</v>
      </c>
      <c r="S159" s="12" t="s">
        <v>543</v>
      </c>
      <c r="T159" s="12" t="s">
        <v>66</v>
      </c>
      <c r="U159" s="12" t="s">
        <v>544</v>
      </c>
      <c r="V159" s="12" t="s">
        <v>1167</v>
      </c>
      <c r="W159" s="12" t="s">
        <v>68</v>
      </c>
      <c r="X159" s="12">
        <v>41.999130999999998</v>
      </c>
      <c r="Y159" s="12">
        <v>12.019142</v>
      </c>
      <c r="Z159" s="14" t="s">
        <v>69</v>
      </c>
      <c r="AA159" s="12">
        <v>852</v>
      </c>
      <c r="AB159" s="12" t="str">
        <f t="shared" si="38"/>
        <v>41.999131/12.019142</v>
      </c>
      <c r="AC159" s="13" t="s">
        <v>1473</v>
      </c>
      <c r="AD159" s="25">
        <v>46054</v>
      </c>
      <c r="AE159" s="14" t="s">
        <v>70</v>
      </c>
      <c r="AF159" s="14" t="s">
        <v>71</v>
      </c>
      <c r="AG159" s="14" t="s">
        <v>72</v>
      </c>
      <c r="AH159" s="12" t="str">
        <f t="shared" si="36"/>
        <v>Europa | Italy | Lazio | Rome</v>
      </c>
      <c r="AI159" s="12" t="s">
        <v>73</v>
      </c>
      <c r="AJ159" s="12"/>
      <c r="AK159" s="12" t="s">
        <v>74</v>
      </c>
      <c r="AL159" s="12" t="str">
        <f t="shared" si="39"/>
        <v>ITA</v>
      </c>
      <c r="AM159" s="12" t="s">
        <v>75</v>
      </c>
      <c r="AN159" s="12" t="s">
        <v>153</v>
      </c>
      <c r="AO159" s="12" t="s">
        <v>57</v>
      </c>
      <c r="AP159" s="12" t="s">
        <v>77</v>
      </c>
      <c r="AQ159" s="12" t="s">
        <v>78</v>
      </c>
      <c r="AR159" s="12" t="s">
        <v>79</v>
      </c>
      <c r="AS159" s="12" t="s">
        <v>1329</v>
      </c>
      <c r="AT159" s="12"/>
      <c r="AU159" s="12" t="s">
        <v>540</v>
      </c>
      <c r="AV159" s="12">
        <v>1</v>
      </c>
      <c r="AW159" s="12">
        <v>1</v>
      </c>
      <c r="AX159" s="12" t="s">
        <v>81</v>
      </c>
      <c r="AY159" s="12" t="s">
        <v>82</v>
      </c>
      <c r="AZ159" s="12" t="s">
        <v>83</v>
      </c>
      <c r="BA159" s="12" t="s">
        <v>84</v>
      </c>
      <c r="BB159" s="12"/>
      <c r="BC159" s="27" t="s">
        <v>1801</v>
      </c>
      <c r="BD159" s="27" t="s">
        <v>1802</v>
      </c>
      <c r="BE159" s="12"/>
    </row>
    <row r="160" spans="1:57" x14ac:dyDescent="0.25">
      <c r="A160" s="12" t="s">
        <v>540</v>
      </c>
      <c r="B160" s="12" t="s">
        <v>57</v>
      </c>
      <c r="C160" s="12">
        <v>1895</v>
      </c>
      <c r="D160" s="12"/>
      <c r="E160" s="23"/>
      <c r="F160" s="12">
        <f t="shared" si="31"/>
        <v>1895</v>
      </c>
      <c r="G160" s="12"/>
      <c r="H160" s="12"/>
      <c r="I160" s="24">
        <f t="shared" si="37"/>
        <v>1895</v>
      </c>
      <c r="J160" s="12" t="s">
        <v>58</v>
      </c>
      <c r="K160" s="12" t="str">
        <f t="shared" si="34"/>
        <v>Streptopelia turtur (Linnaeus, 1758)</v>
      </c>
      <c r="L160" s="12" t="str">
        <f t="shared" si="35"/>
        <v>Animalia|Chordata|Aves|Columbiformes|Columbidae|Streptopelia</v>
      </c>
      <c r="M160" s="12" t="s">
        <v>59</v>
      </c>
      <c r="N160" s="12" t="s">
        <v>60</v>
      </c>
      <c r="O160" s="12" t="s">
        <v>61</v>
      </c>
      <c r="P160" s="12" t="s">
        <v>541</v>
      </c>
      <c r="Q160" s="12" t="s">
        <v>542</v>
      </c>
      <c r="R160" s="12" t="s">
        <v>942</v>
      </c>
      <c r="S160" s="12" t="s">
        <v>543</v>
      </c>
      <c r="T160" s="12" t="s">
        <v>66</v>
      </c>
      <c r="U160" s="12" t="s">
        <v>544</v>
      </c>
      <c r="V160" s="12"/>
      <c r="W160" s="12" t="s">
        <v>68</v>
      </c>
      <c r="X160" s="12">
        <v>41.999130999999998</v>
      </c>
      <c r="Y160" s="12">
        <v>12.019142</v>
      </c>
      <c r="Z160" s="14" t="s">
        <v>69</v>
      </c>
      <c r="AA160" s="12">
        <v>1000</v>
      </c>
      <c r="AB160" s="12" t="str">
        <f t="shared" si="38"/>
        <v>41.999131/12.019142</v>
      </c>
      <c r="AC160" s="13" t="s">
        <v>1473</v>
      </c>
      <c r="AD160" s="25">
        <v>46054</v>
      </c>
      <c r="AE160" s="14" t="s">
        <v>70</v>
      </c>
      <c r="AF160" s="14" t="s">
        <v>71</v>
      </c>
      <c r="AG160" s="14" t="s">
        <v>72</v>
      </c>
      <c r="AH160" s="12" t="str">
        <f t="shared" si="36"/>
        <v>Europa | Italy | Lazio | Rome</v>
      </c>
      <c r="AI160" s="12" t="s">
        <v>73</v>
      </c>
      <c r="AJ160" s="12"/>
      <c r="AK160" s="12" t="s">
        <v>74</v>
      </c>
      <c r="AL160" s="12" t="str">
        <f t="shared" si="39"/>
        <v>ITA</v>
      </c>
      <c r="AM160" s="12" t="s">
        <v>75</v>
      </c>
      <c r="AN160" s="12" t="s">
        <v>153</v>
      </c>
      <c r="AO160" s="12" t="s">
        <v>57</v>
      </c>
      <c r="AP160" s="12" t="s">
        <v>77</v>
      </c>
      <c r="AQ160" s="12" t="s">
        <v>78</v>
      </c>
      <c r="AR160" s="12" t="s">
        <v>79</v>
      </c>
      <c r="AS160" s="12" t="s">
        <v>1330</v>
      </c>
      <c r="AT160" s="12" t="s">
        <v>80</v>
      </c>
      <c r="AU160" s="12" t="s">
        <v>545</v>
      </c>
      <c r="AV160" s="12">
        <v>1</v>
      </c>
      <c r="AW160" s="12">
        <v>1</v>
      </c>
      <c r="AX160" s="12" t="s">
        <v>81</v>
      </c>
      <c r="AY160" s="12" t="s">
        <v>82</v>
      </c>
      <c r="AZ160" s="12" t="s">
        <v>83</v>
      </c>
      <c r="BA160" s="12" t="s">
        <v>84</v>
      </c>
      <c r="BB160" s="12"/>
      <c r="BC160" s="27" t="s">
        <v>1803</v>
      </c>
      <c r="BD160" s="27" t="s">
        <v>1804</v>
      </c>
      <c r="BE160" s="12"/>
    </row>
    <row r="161" spans="1:57" x14ac:dyDescent="0.25">
      <c r="A161" s="12" t="s">
        <v>545</v>
      </c>
      <c r="B161" s="12" t="s">
        <v>57</v>
      </c>
      <c r="C161" s="12">
        <v>1960</v>
      </c>
      <c r="D161" s="12"/>
      <c r="E161" s="23"/>
      <c r="F161" s="12">
        <f t="shared" si="31"/>
        <v>1960</v>
      </c>
      <c r="G161" s="12"/>
      <c r="H161" s="12"/>
      <c r="I161" s="24">
        <f t="shared" si="37"/>
        <v>1960</v>
      </c>
      <c r="J161" s="12" t="s">
        <v>58</v>
      </c>
      <c r="K161" s="12" t="str">
        <f t="shared" si="34"/>
        <v>Columba palumbus (Linnaeus, 1758)</v>
      </c>
      <c r="L161" s="12" t="str">
        <f t="shared" si="35"/>
        <v>Animalia|Chordata|Aves|Columbiformes|Columbidae|Columba</v>
      </c>
      <c r="M161" s="12" t="s">
        <v>59</v>
      </c>
      <c r="N161" s="12" t="s">
        <v>60</v>
      </c>
      <c r="O161" s="12" t="s">
        <v>61</v>
      </c>
      <c r="P161" s="12" t="s">
        <v>541</v>
      </c>
      <c r="Q161" s="12" t="s">
        <v>542</v>
      </c>
      <c r="R161" s="12" t="s">
        <v>943</v>
      </c>
      <c r="S161" s="12" t="s">
        <v>547</v>
      </c>
      <c r="T161" s="12" t="s">
        <v>66</v>
      </c>
      <c r="U161" s="12" t="s">
        <v>548</v>
      </c>
      <c r="V161" s="12"/>
      <c r="W161" s="12" t="s">
        <v>68</v>
      </c>
      <c r="X161" s="12">
        <v>41.9</v>
      </c>
      <c r="Y161" s="12">
        <v>12.483333</v>
      </c>
      <c r="Z161" s="14" t="s">
        <v>69</v>
      </c>
      <c r="AA161" s="12">
        <v>36625</v>
      </c>
      <c r="AB161" s="12" t="str">
        <f t="shared" si="38"/>
        <v>41.9/12.483333</v>
      </c>
      <c r="AC161" s="13" t="s">
        <v>1473</v>
      </c>
      <c r="AD161" s="25">
        <v>46054</v>
      </c>
      <c r="AE161" s="14" t="s">
        <v>70</v>
      </c>
      <c r="AF161" s="14" t="s">
        <v>71</v>
      </c>
      <c r="AG161" s="14" t="s">
        <v>72</v>
      </c>
      <c r="AH161" s="12" t="str">
        <f t="shared" si="36"/>
        <v>Europa | Italy | Lazio | Rome</v>
      </c>
      <c r="AI161" s="12" t="s">
        <v>73</v>
      </c>
      <c r="AJ161" s="12"/>
      <c r="AK161" s="12" t="s">
        <v>74</v>
      </c>
      <c r="AL161" s="12" t="str">
        <f t="shared" si="39"/>
        <v>ITA</v>
      </c>
      <c r="AM161" s="12" t="s">
        <v>75</v>
      </c>
      <c r="AN161" s="12" t="s">
        <v>153</v>
      </c>
      <c r="AO161" s="12" t="s">
        <v>57</v>
      </c>
      <c r="AP161" s="12" t="s">
        <v>77</v>
      </c>
      <c r="AQ161" s="12" t="s">
        <v>78</v>
      </c>
      <c r="AR161" s="12" t="s">
        <v>79</v>
      </c>
      <c r="AS161" s="12" t="s">
        <v>1331</v>
      </c>
      <c r="AT161" s="12"/>
      <c r="AU161" s="12" t="s">
        <v>546</v>
      </c>
      <c r="AV161" s="12">
        <v>1</v>
      </c>
      <c r="AW161" s="12">
        <v>1</v>
      </c>
      <c r="AX161" s="12" t="s">
        <v>81</v>
      </c>
      <c r="AY161" s="12" t="s">
        <v>82</v>
      </c>
      <c r="AZ161" s="12" t="s">
        <v>83</v>
      </c>
      <c r="BA161" s="12" t="s">
        <v>84</v>
      </c>
      <c r="BB161" s="12"/>
      <c r="BC161" s="27" t="s">
        <v>1805</v>
      </c>
      <c r="BD161" s="27" t="s">
        <v>1806</v>
      </c>
      <c r="BE161" s="12"/>
    </row>
    <row r="162" spans="1:57" x14ac:dyDescent="0.25">
      <c r="A162" s="12" t="s">
        <v>546</v>
      </c>
      <c r="B162" s="12" t="s">
        <v>57</v>
      </c>
      <c r="C162" s="12">
        <v>1897</v>
      </c>
      <c r="D162" s="12"/>
      <c r="E162" s="23"/>
      <c r="F162" s="12">
        <f t="shared" si="31"/>
        <v>1897</v>
      </c>
      <c r="G162" s="12"/>
      <c r="H162" s="12"/>
      <c r="I162" s="24">
        <f t="shared" si="37"/>
        <v>1897</v>
      </c>
      <c r="J162" s="12" t="s">
        <v>550</v>
      </c>
      <c r="K162" s="12" t="str">
        <f t="shared" si="34"/>
        <v>Sternula albifrons (Pallas, 1764)</v>
      </c>
      <c r="L162" s="12" t="str">
        <f t="shared" si="35"/>
        <v>Animalia|Chordata|Aves|Charadriiformes|Laridae|Sternula</v>
      </c>
      <c r="M162" s="12" t="s">
        <v>59</v>
      </c>
      <c r="N162" s="12" t="s">
        <v>60</v>
      </c>
      <c r="O162" s="12" t="s">
        <v>61</v>
      </c>
      <c r="P162" s="12" t="s">
        <v>381</v>
      </c>
      <c r="Q162" s="12" t="s">
        <v>551</v>
      </c>
      <c r="R162" s="12" t="s">
        <v>944</v>
      </c>
      <c r="S162" s="12" t="s">
        <v>375</v>
      </c>
      <c r="T162" s="12" t="s">
        <v>66</v>
      </c>
      <c r="U162" s="12" t="s">
        <v>552</v>
      </c>
      <c r="V162" s="12"/>
      <c r="W162" s="12" t="s">
        <v>68</v>
      </c>
      <c r="X162" s="12">
        <v>41.9</v>
      </c>
      <c r="Y162" s="12">
        <v>12.483333</v>
      </c>
      <c r="Z162" s="14" t="s">
        <v>69</v>
      </c>
      <c r="AA162" s="12">
        <v>36625</v>
      </c>
      <c r="AB162" s="12" t="str">
        <f t="shared" si="38"/>
        <v>41.9/12.483333</v>
      </c>
      <c r="AC162" s="13" t="s">
        <v>1473</v>
      </c>
      <c r="AD162" s="25">
        <v>46054</v>
      </c>
      <c r="AE162" s="14" t="s">
        <v>70</v>
      </c>
      <c r="AF162" s="14" t="s">
        <v>71</v>
      </c>
      <c r="AG162" s="14" t="s">
        <v>72</v>
      </c>
      <c r="AH162" s="12" t="str">
        <f t="shared" si="36"/>
        <v>Europa | Italy | Lazio | Fiumicino</v>
      </c>
      <c r="AI162" s="12" t="s">
        <v>73</v>
      </c>
      <c r="AJ162" s="12"/>
      <c r="AK162" s="12" t="s">
        <v>74</v>
      </c>
      <c r="AL162" s="12" t="str">
        <f t="shared" si="39"/>
        <v>ITA</v>
      </c>
      <c r="AM162" s="12" t="s">
        <v>75</v>
      </c>
      <c r="AN162" s="12" t="s">
        <v>386</v>
      </c>
      <c r="AO162" s="12" t="s">
        <v>57</v>
      </c>
      <c r="AP162" s="12" t="s">
        <v>77</v>
      </c>
      <c r="AQ162" s="12" t="s">
        <v>78</v>
      </c>
      <c r="AR162" s="12" t="s">
        <v>79</v>
      </c>
      <c r="AS162" s="12" t="s">
        <v>1332</v>
      </c>
      <c r="AT162" s="12" t="s">
        <v>80</v>
      </c>
      <c r="AU162" s="12" t="s">
        <v>549</v>
      </c>
      <c r="AV162" s="12">
        <v>1</v>
      </c>
      <c r="AW162" s="12">
        <v>1</v>
      </c>
      <c r="AX162" s="12" t="s">
        <v>81</v>
      </c>
      <c r="AY162" s="12" t="s">
        <v>82</v>
      </c>
      <c r="AZ162" s="12" t="s">
        <v>83</v>
      </c>
      <c r="BA162" s="12" t="s">
        <v>84</v>
      </c>
      <c r="BB162" s="12"/>
      <c r="BC162" s="27" t="s">
        <v>1807</v>
      </c>
      <c r="BD162" s="27" t="s">
        <v>1808</v>
      </c>
      <c r="BE162" s="12"/>
    </row>
    <row r="163" spans="1:57" x14ac:dyDescent="0.25">
      <c r="A163" s="12" t="s">
        <v>549</v>
      </c>
      <c r="B163" s="12" t="s">
        <v>57</v>
      </c>
      <c r="C163" s="12">
        <v>1959</v>
      </c>
      <c r="D163" s="12"/>
      <c r="E163" s="23"/>
      <c r="F163" s="12">
        <f t="shared" si="31"/>
        <v>1959</v>
      </c>
      <c r="G163" s="12"/>
      <c r="H163" s="12"/>
      <c r="I163" s="24">
        <f t="shared" si="37"/>
        <v>1959</v>
      </c>
      <c r="J163" s="12" t="s">
        <v>58</v>
      </c>
      <c r="K163" s="12" t="str">
        <f t="shared" si="34"/>
        <v>Columba palumbus (Linnaeus, 1758)</v>
      </c>
      <c r="L163" s="12" t="str">
        <f t="shared" si="35"/>
        <v>Animalia|Chordata|Aves|Columbiformes|Columbidae|Columba</v>
      </c>
      <c r="M163" s="12" t="s">
        <v>59</v>
      </c>
      <c r="N163" s="12" t="s">
        <v>60</v>
      </c>
      <c r="O163" s="12" t="s">
        <v>61</v>
      </c>
      <c r="P163" s="12" t="s">
        <v>541</v>
      </c>
      <c r="Q163" s="12" t="s">
        <v>542</v>
      </c>
      <c r="R163" s="12" t="s">
        <v>943</v>
      </c>
      <c r="S163" s="12" t="s">
        <v>547</v>
      </c>
      <c r="T163" s="12" t="s">
        <v>66</v>
      </c>
      <c r="U163" s="12" t="s">
        <v>548</v>
      </c>
      <c r="V163" s="12"/>
      <c r="W163" s="12" t="s">
        <v>68</v>
      </c>
      <c r="X163" s="12">
        <v>41.777932999999997</v>
      </c>
      <c r="Y163" s="12">
        <v>12.297191</v>
      </c>
      <c r="Z163" s="14" t="s">
        <v>69</v>
      </c>
      <c r="AA163" s="12">
        <v>7066</v>
      </c>
      <c r="AB163" s="12" t="str">
        <f t="shared" si="38"/>
        <v>41.777933/12.297191</v>
      </c>
      <c r="AC163" s="13" t="s">
        <v>1473</v>
      </c>
      <c r="AD163" s="25">
        <v>46054</v>
      </c>
      <c r="AE163" s="14" t="s">
        <v>70</v>
      </c>
      <c r="AF163" s="14" t="s">
        <v>71</v>
      </c>
      <c r="AG163" s="14" t="s">
        <v>72</v>
      </c>
      <c r="AH163" s="12" t="str">
        <f t="shared" si="36"/>
        <v>Europa | Italy | Lazio | Castelporziano</v>
      </c>
      <c r="AI163" s="12" t="s">
        <v>73</v>
      </c>
      <c r="AJ163" s="12"/>
      <c r="AK163" s="12" t="s">
        <v>74</v>
      </c>
      <c r="AL163" s="12" t="str">
        <f t="shared" si="39"/>
        <v>ITA</v>
      </c>
      <c r="AM163" s="12" t="s">
        <v>75</v>
      </c>
      <c r="AN163" s="12" t="s">
        <v>76</v>
      </c>
      <c r="AO163" s="12" t="s">
        <v>57</v>
      </c>
      <c r="AP163" s="12" t="s">
        <v>77</v>
      </c>
      <c r="AQ163" s="12" t="s">
        <v>78</v>
      </c>
      <c r="AR163" s="12" t="s">
        <v>79</v>
      </c>
      <c r="AS163" s="12" t="s">
        <v>1333</v>
      </c>
      <c r="AT163" s="12"/>
      <c r="AU163" s="12" t="s">
        <v>553</v>
      </c>
      <c r="AV163" s="12">
        <v>1</v>
      </c>
      <c r="AW163" s="12">
        <v>1</v>
      </c>
      <c r="AX163" s="12" t="s">
        <v>81</v>
      </c>
      <c r="AY163" s="12" t="s">
        <v>82</v>
      </c>
      <c r="AZ163" s="12" t="s">
        <v>83</v>
      </c>
      <c r="BA163" s="12" t="s">
        <v>84</v>
      </c>
      <c r="BB163" s="12"/>
      <c r="BC163" s="27" t="s">
        <v>1809</v>
      </c>
      <c r="BD163" s="27" t="s">
        <v>1810</v>
      </c>
      <c r="BE163" s="12"/>
    </row>
    <row r="164" spans="1:57" x14ac:dyDescent="0.25">
      <c r="A164" s="12" t="s">
        <v>553</v>
      </c>
      <c r="B164" s="12" t="s">
        <v>57</v>
      </c>
      <c r="C164" s="25">
        <v>22179</v>
      </c>
      <c r="D164" s="12">
        <f t="shared" si="29"/>
        <v>264</v>
      </c>
      <c r="E164" s="23">
        <f t="shared" si="30"/>
        <v>264</v>
      </c>
      <c r="F164" s="12">
        <f t="shared" si="31"/>
        <v>1960</v>
      </c>
      <c r="G164" s="12">
        <f t="shared" si="32"/>
        <v>9</v>
      </c>
      <c r="H164" s="12">
        <f t="shared" si="33"/>
        <v>20</v>
      </c>
      <c r="I164" s="24">
        <f t="shared" si="37"/>
        <v>22179</v>
      </c>
      <c r="J164" s="12" t="s">
        <v>58</v>
      </c>
      <c r="K164" s="12" t="str">
        <f t="shared" si="34"/>
        <v>Chlidonias niger (Linnaeus, 1758)</v>
      </c>
      <c r="L164" s="12" t="str">
        <f t="shared" si="35"/>
        <v>Animalia|Chordata|Aves|Charadriiformes|Laridae|Chlidonias</v>
      </c>
      <c r="M164" s="12" t="s">
        <v>59</v>
      </c>
      <c r="N164" s="12" t="s">
        <v>60</v>
      </c>
      <c r="O164" s="12" t="s">
        <v>61</v>
      </c>
      <c r="P164" s="12" t="s">
        <v>381</v>
      </c>
      <c r="Q164" s="12" t="s">
        <v>551</v>
      </c>
      <c r="R164" s="12" t="s">
        <v>945</v>
      </c>
      <c r="S164" s="12" t="s">
        <v>555</v>
      </c>
      <c r="T164" s="12" t="s">
        <v>66</v>
      </c>
      <c r="U164" s="12" t="s">
        <v>556</v>
      </c>
      <c r="V164" s="12" t="s">
        <v>1165</v>
      </c>
      <c r="W164" s="12" t="s">
        <v>68</v>
      </c>
      <c r="X164" s="12">
        <v>41.722408999999999</v>
      </c>
      <c r="Y164" s="12">
        <v>12.396117</v>
      </c>
      <c r="Z164" s="14" t="s">
        <v>69</v>
      </c>
      <c r="AA164" s="12">
        <v>6372</v>
      </c>
      <c r="AB164" s="12" t="str">
        <f t="shared" si="38"/>
        <v>41.722409/12.396117</v>
      </c>
      <c r="AC164" s="13" t="s">
        <v>1473</v>
      </c>
      <c r="AD164" s="25">
        <v>46054</v>
      </c>
      <c r="AE164" s="14" t="s">
        <v>70</v>
      </c>
      <c r="AF164" s="14" t="s">
        <v>71</v>
      </c>
      <c r="AG164" s="14" t="s">
        <v>72</v>
      </c>
      <c r="AH164" s="12" t="str">
        <f t="shared" si="36"/>
        <v>Europa | Italy | Piedmont | Pietraporzio</v>
      </c>
      <c r="AI164" s="12" t="s">
        <v>73</v>
      </c>
      <c r="AJ164" s="12"/>
      <c r="AK164" s="12" t="s">
        <v>74</v>
      </c>
      <c r="AL164" s="12" t="str">
        <f t="shared" si="39"/>
        <v>ITA</v>
      </c>
      <c r="AM164" s="12" t="s">
        <v>90</v>
      </c>
      <c r="AN164" s="12" t="s">
        <v>220</v>
      </c>
      <c r="AO164" s="12" t="s">
        <v>57</v>
      </c>
      <c r="AP164" s="12" t="s">
        <v>77</v>
      </c>
      <c r="AQ164" s="12" t="s">
        <v>78</v>
      </c>
      <c r="AR164" s="12" t="s">
        <v>79</v>
      </c>
      <c r="AS164" s="12" t="s">
        <v>1334</v>
      </c>
      <c r="AT164" s="12"/>
      <c r="AU164" s="12" t="s">
        <v>554</v>
      </c>
      <c r="AV164" s="12">
        <v>1</v>
      </c>
      <c r="AW164" s="12">
        <v>1</v>
      </c>
      <c r="AX164" s="12" t="s">
        <v>81</v>
      </c>
      <c r="AY164" s="12" t="s">
        <v>82</v>
      </c>
      <c r="AZ164" s="12" t="s">
        <v>83</v>
      </c>
      <c r="BA164" s="12" t="s">
        <v>84</v>
      </c>
      <c r="BB164" s="12"/>
      <c r="BC164" s="27" t="s">
        <v>1811</v>
      </c>
      <c r="BD164" s="27" t="s">
        <v>1812</v>
      </c>
      <c r="BE164" s="12"/>
    </row>
    <row r="165" spans="1:57" x14ac:dyDescent="0.25">
      <c r="A165" s="12" t="s">
        <v>554</v>
      </c>
      <c r="B165" s="12" t="s">
        <v>57</v>
      </c>
      <c r="C165" s="25">
        <v>22047</v>
      </c>
      <c r="D165" s="12">
        <f t="shared" si="29"/>
        <v>132</v>
      </c>
      <c r="E165" s="23">
        <f t="shared" si="30"/>
        <v>132</v>
      </c>
      <c r="F165" s="12">
        <f t="shared" si="31"/>
        <v>1960</v>
      </c>
      <c r="G165" s="12">
        <f t="shared" si="32"/>
        <v>5</v>
      </c>
      <c r="H165" s="12">
        <f t="shared" si="33"/>
        <v>11</v>
      </c>
      <c r="I165" s="24">
        <f t="shared" si="37"/>
        <v>22047</v>
      </c>
      <c r="J165" s="12" t="s">
        <v>58</v>
      </c>
      <c r="K165" s="12" t="str">
        <f t="shared" si="34"/>
        <v>Chlidonias niger (Linnaeus, 1758)</v>
      </c>
      <c r="L165" s="12" t="str">
        <f t="shared" si="35"/>
        <v>Animalia|Chordata|Aves|Charadriiformes|Laridae|Chlidonias</v>
      </c>
      <c r="M165" s="12" t="s">
        <v>59</v>
      </c>
      <c r="N165" s="12" t="s">
        <v>60</v>
      </c>
      <c r="O165" s="12" t="s">
        <v>61</v>
      </c>
      <c r="P165" s="12" t="s">
        <v>381</v>
      </c>
      <c r="Q165" s="12" t="s">
        <v>551</v>
      </c>
      <c r="R165" s="12" t="s">
        <v>945</v>
      </c>
      <c r="S165" s="12" t="s">
        <v>555</v>
      </c>
      <c r="T165" s="12" t="s">
        <v>66</v>
      </c>
      <c r="U165" s="12" t="s">
        <v>556</v>
      </c>
      <c r="V165" s="12" t="s">
        <v>1168</v>
      </c>
      <c r="W165" s="12" t="s">
        <v>68</v>
      </c>
      <c r="X165" s="12">
        <v>44.342540999999997</v>
      </c>
      <c r="Y165" s="12">
        <v>7.0318740000000002</v>
      </c>
      <c r="Z165" s="14" t="s">
        <v>69</v>
      </c>
      <c r="AA165" s="12">
        <v>1156</v>
      </c>
      <c r="AB165" s="12" t="str">
        <f t="shared" si="38"/>
        <v>44.342541/7.031874</v>
      </c>
      <c r="AC165" s="13" t="s">
        <v>1473</v>
      </c>
      <c r="AD165" s="25">
        <v>46054</v>
      </c>
      <c r="AE165" s="14" t="s">
        <v>70</v>
      </c>
      <c r="AF165" s="14" t="s">
        <v>71</v>
      </c>
      <c r="AG165" s="14" t="s">
        <v>72</v>
      </c>
      <c r="AH165" s="12" t="str">
        <f t="shared" si="36"/>
        <v>Europa | Italy | Veneto | Chioggia</v>
      </c>
      <c r="AI165" s="12" t="s">
        <v>73</v>
      </c>
      <c r="AJ165" s="12"/>
      <c r="AK165" s="12" t="s">
        <v>74</v>
      </c>
      <c r="AL165" s="12" t="str">
        <f t="shared" si="39"/>
        <v>ITA</v>
      </c>
      <c r="AM165" s="12" t="s">
        <v>150</v>
      </c>
      <c r="AN165" s="12" t="s">
        <v>558</v>
      </c>
      <c r="AO165" s="12" t="s">
        <v>57</v>
      </c>
      <c r="AP165" s="12" t="s">
        <v>77</v>
      </c>
      <c r="AQ165" s="12" t="s">
        <v>78</v>
      </c>
      <c r="AR165" s="12" t="s">
        <v>79</v>
      </c>
      <c r="AS165" s="12" t="s">
        <v>1335</v>
      </c>
      <c r="AT165" s="12"/>
      <c r="AU165" s="12" t="s">
        <v>557</v>
      </c>
      <c r="AV165" s="12">
        <v>1</v>
      </c>
      <c r="AW165" s="12">
        <v>1</v>
      </c>
      <c r="AX165" s="12" t="s">
        <v>81</v>
      </c>
      <c r="AY165" s="12" t="s">
        <v>82</v>
      </c>
      <c r="AZ165" s="12" t="s">
        <v>83</v>
      </c>
      <c r="BA165" s="12" t="s">
        <v>84</v>
      </c>
      <c r="BB165" s="12"/>
      <c r="BC165" s="27" t="s">
        <v>1813</v>
      </c>
      <c r="BD165" s="27" t="s">
        <v>1814</v>
      </c>
      <c r="BE165" s="12"/>
    </row>
    <row r="166" spans="1:57" x14ac:dyDescent="0.25">
      <c r="A166" s="12" t="s">
        <v>557</v>
      </c>
      <c r="B166" s="12" t="s">
        <v>57</v>
      </c>
      <c r="C166" s="12">
        <v>1897</v>
      </c>
      <c r="D166" s="12"/>
      <c r="E166" s="23"/>
      <c r="F166" s="12">
        <f t="shared" si="31"/>
        <v>1897</v>
      </c>
      <c r="G166" s="12"/>
      <c r="H166" s="12"/>
      <c r="I166" s="24">
        <f t="shared" si="37"/>
        <v>1897</v>
      </c>
      <c r="J166" s="12" t="s">
        <v>86</v>
      </c>
      <c r="K166" s="12" t="str">
        <f t="shared" si="34"/>
        <v>Chroicocephalus ridibundus (Linnaeus, 1766)</v>
      </c>
      <c r="L166" s="12" t="str">
        <f t="shared" si="35"/>
        <v>Animalia|Chordata|Aves|Charadriiformes|Laridae|Chroicocephalus</v>
      </c>
      <c r="M166" s="12" t="s">
        <v>59</v>
      </c>
      <c r="N166" s="12" t="s">
        <v>60</v>
      </c>
      <c r="O166" s="12" t="s">
        <v>61</v>
      </c>
      <c r="P166" s="12" t="s">
        <v>381</v>
      </c>
      <c r="Q166" s="12" t="s">
        <v>551</v>
      </c>
      <c r="R166" s="12" t="s">
        <v>946</v>
      </c>
      <c r="S166" s="12" t="s">
        <v>560</v>
      </c>
      <c r="T166" s="12" t="s">
        <v>66</v>
      </c>
      <c r="U166" s="12" t="s">
        <v>561</v>
      </c>
      <c r="V166" s="12" t="s">
        <v>1474</v>
      </c>
      <c r="W166" s="12" t="s">
        <v>68</v>
      </c>
      <c r="X166" s="12">
        <v>41.9</v>
      </c>
      <c r="Y166" s="12">
        <v>12.483333</v>
      </c>
      <c r="Z166" s="14" t="s">
        <v>69</v>
      </c>
      <c r="AA166" s="12">
        <v>2637</v>
      </c>
      <c r="AB166" s="12" t="str">
        <f t="shared" si="38"/>
        <v>41.9/12.483333</v>
      </c>
      <c r="AC166" s="13" t="s">
        <v>1473</v>
      </c>
      <c r="AD166" s="25">
        <v>46054</v>
      </c>
      <c r="AE166" s="14" t="s">
        <v>70</v>
      </c>
      <c r="AF166" s="14" t="s">
        <v>71</v>
      </c>
      <c r="AG166" s="14" t="s">
        <v>72</v>
      </c>
      <c r="AH166" s="12" t="str">
        <f t="shared" si="36"/>
        <v>Europa | Italy | Lazio | Rome</v>
      </c>
      <c r="AI166" s="12" t="s">
        <v>73</v>
      </c>
      <c r="AJ166" s="12"/>
      <c r="AK166" s="12" t="s">
        <v>74</v>
      </c>
      <c r="AL166" s="12" t="str">
        <f t="shared" si="39"/>
        <v>ITA</v>
      </c>
      <c r="AM166" s="12" t="s">
        <v>75</v>
      </c>
      <c r="AN166" s="12" t="s">
        <v>153</v>
      </c>
      <c r="AO166" s="12" t="s">
        <v>57</v>
      </c>
      <c r="AP166" s="12" t="s">
        <v>77</v>
      </c>
      <c r="AQ166" s="12" t="s">
        <v>78</v>
      </c>
      <c r="AR166" s="12" t="s">
        <v>79</v>
      </c>
      <c r="AS166" s="12" t="s">
        <v>1336</v>
      </c>
      <c r="AT166" s="12"/>
      <c r="AU166" s="12" t="s">
        <v>559</v>
      </c>
      <c r="AV166" s="12">
        <v>1</v>
      </c>
      <c r="AW166" s="12">
        <v>1</v>
      </c>
      <c r="AX166" s="12" t="s">
        <v>81</v>
      </c>
      <c r="AY166" s="12" t="s">
        <v>82</v>
      </c>
      <c r="AZ166" s="12" t="s">
        <v>83</v>
      </c>
      <c r="BA166" s="12" t="s">
        <v>84</v>
      </c>
      <c r="BB166" s="12"/>
      <c r="BC166" s="27" t="s">
        <v>1815</v>
      </c>
      <c r="BD166" s="27" t="s">
        <v>1816</v>
      </c>
      <c r="BE166" s="12"/>
    </row>
    <row r="167" spans="1:57" x14ac:dyDescent="0.25">
      <c r="A167" s="12" t="s">
        <v>559</v>
      </c>
      <c r="B167" s="12" t="s">
        <v>57</v>
      </c>
      <c r="C167" s="25">
        <v>21650</v>
      </c>
      <c r="D167" s="12">
        <f t="shared" ref="D167:D230" si="40">IFERROR(C167-DATE(YEAR(C167),1,1)+1,"")</f>
        <v>100</v>
      </c>
      <c r="E167" s="23">
        <f t="shared" si="30"/>
        <v>100</v>
      </c>
      <c r="F167" s="12">
        <f t="shared" si="31"/>
        <v>1959</v>
      </c>
      <c r="G167" s="12">
        <f t="shared" si="32"/>
        <v>4</v>
      </c>
      <c r="H167" s="12">
        <f t="shared" si="33"/>
        <v>10</v>
      </c>
      <c r="I167" s="24">
        <f t="shared" si="37"/>
        <v>21650</v>
      </c>
      <c r="J167" s="12" t="s">
        <v>563</v>
      </c>
      <c r="K167" s="12" t="str">
        <f t="shared" si="34"/>
        <v>Hydrocoloeus minutus (Pallas, 1776)</v>
      </c>
      <c r="L167" s="12" t="str">
        <f t="shared" si="35"/>
        <v>Animalia|Chordata|Aves|Charadriiformes|Laridae|Hydrocoloeus</v>
      </c>
      <c r="M167" s="12" t="s">
        <v>59</v>
      </c>
      <c r="N167" s="12" t="s">
        <v>60</v>
      </c>
      <c r="O167" s="12" t="s">
        <v>61</v>
      </c>
      <c r="P167" s="12" t="s">
        <v>381</v>
      </c>
      <c r="Q167" s="12" t="s">
        <v>551</v>
      </c>
      <c r="R167" s="12" t="s">
        <v>947</v>
      </c>
      <c r="S167" s="12" t="s">
        <v>564</v>
      </c>
      <c r="T167" s="12" t="s">
        <v>66</v>
      </c>
      <c r="U167" s="12" t="s">
        <v>565</v>
      </c>
      <c r="V167" s="12" t="s">
        <v>1168</v>
      </c>
      <c r="W167" s="12" t="s">
        <v>68</v>
      </c>
      <c r="X167" s="12">
        <v>41.9</v>
      </c>
      <c r="Y167" s="12">
        <v>12.483333</v>
      </c>
      <c r="Z167" s="14" t="s">
        <v>69</v>
      </c>
      <c r="AA167" s="12">
        <v>36625</v>
      </c>
      <c r="AB167" s="12" t="str">
        <f t="shared" si="38"/>
        <v>41.9/12.483333</v>
      </c>
      <c r="AC167" s="13" t="s">
        <v>1473</v>
      </c>
      <c r="AD167" s="25">
        <v>46054</v>
      </c>
      <c r="AE167" s="14" t="s">
        <v>70</v>
      </c>
      <c r="AF167" s="14" t="s">
        <v>71</v>
      </c>
      <c r="AG167" s="14" t="s">
        <v>72</v>
      </c>
      <c r="AH167" s="12" t="str">
        <f t="shared" si="36"/>
        <v>Europa | Italy | Veneto | Jesolo</v>
      </c>
      <c r="AI167" s="12" t="s">
        <v>73</v>
      </c>
      <c r="AJ167" s="12"/>
      <c r="AK167" s="12" t="s">
        <v>74</v>
      </c>
      <c r="AL167" s="12" t="str">
        <f t="shared" si="39"/>
        <v>ITA</v>
      </c>
      <c r="AM167" s="12" t="s">
        <v>150</v>
      </c>
      <c r="AN167" s="12" t="s">
        <v>566</v>
      </c>
      <c r="AO167" s="12" t="s">
        <v>57</v>
      </c>
      <c r="AP167" s="12" t="s">
        <v>77</v>
      </c>
      <c r="AQ167" s="12" t="s">
        <v>78</v>
      </c>
      <c r="AR167" s="12" t="s">
        <v>79</v>
      </c>
      <c r="AS167" s="12" t="s">
        <v>1337</v>
      </c>
      <c r="AT167" s="12" t="s">
        <v>80</v>
      </c>
      <c r="AU167" s="12" t="s">
        <v>562</v>
      </c>
      <c r="AV167" s="12">
        <v>1</v>
      </c>
      <c r="AW167" s="12">
        <v>1</v>
      </c>
      <c r="AX167" s="12" t="s">
        <v>81</v>
      </c>
      <c r="AY167" s="12" t="s">
        <v>82</v>
      </c>
      <c r="AZ167" s="12" t="s">
        <v>83</v>
      </c>
      <c r="BA167" s="12" t="s">
        <v>84</v>
      </c>
      <c r="BB167" s="12"/>
      <c r="BC167" s="27" t="s">
        <v>1817</v>
      </c>
      <c r="BD167" s="27" t="s">
        <v>1818</v>
      </c>
      <c r="BE167" s="12"/>
    </row>
    <row r="168" spans="1:57" x14ac:dyDescent="0.25">
      <c r="A168" s="12" t="s">
        <v>562</v>
      </c>
      <c r="B168" s="12" t="s">
        <v>57</v>
      </c>
      <c r="C168" s="12">
        <v>1921</v>
      </c>
      <c r="D168" s="12"/>
      <c r="E168" s="23"/>
      <c r="F168" s="12">
        <f t="shared" si="31"/>
        <v>1921</v>
      </c>
      <c r="G168" s="12"/>
      <c r="H168" s="12"/>
      <c r="I168" s="24">
        <f t="shared" si="37"/>
        <v>1921</v>
      </c>
      <c r="J168" s="12" t="s">
        <v>58</v>
      </c>
      <c r="K168" s="12" t="str">
        <f t="shared" si="34"/>
        <v>Rissa tridactyla (Linnaeus, 1758)</v>
      </c>
      <c r="L168" s="12" t="str">
        <f t="shared" si="35"/>
        <v>Animalia|Chordata|Aves|Charadriiformes|Laridae|Rissa</v>
      </c>
      <c r="M168" s="12" t="s">
        <v>59</v>
      </c>
      <c r="N168" s="12" t="s">
        <v>60</v>
      </c>
      <c r="O168" s="12" t="s">
        <v>61</v>
      </c>
      <c r="P168" s="12" t="s">
        <v>381</v>
      </c>
      <c r="Q168" s="12" t="s">
        <v>551</v>
      </c>
      <c r="R168" s="12" t="s">
        <v>948</v>
      </c>
      <c r="S168" s="12" t="s">
        <v>568</v>
      </c>
      <c r="T168" s="12" t="s">
        <v>66</v>
      </c>
      <c r="U168" s="12" t="s">
        <v>569</v>
      </c>
      <c r="V168" s="12"/>
      <c r="W168" s="12" t="s">
        <v>68</v>
      </c>
      <c r="X168" s="12">
        <v>45.532470000000004</v>
      </c>
      <c r="Y168" s="12">
        <v>12.646526</v>
      </c>
      <c r="Z168" s="14" t="s">
        <v>69</v>
      </c>
      <c r="AA168" s="12">
        <v>2001</v>
      </c>
      <c r="AB168" s="12" t="str">
        <f t="shared" si="38"/>
        <v>45.53247/12.646526</v>
      </c>
      <c r="AC168" s="13" t="s">
        <v>1473</v>
      </c>
      <c r="AD168" s="25">
        <v>46054</v>
      </c>
      <c r="AE168" s="14" t="s">
        <v>70</v>
      </c>
      <c r="AF168" s="14" t="s">
        <v>71</v>
      </c>
      <c r="AG168" s="14" t="s">
        <v>72</v>
      </c>
      <c r="AH168" s="12" t="str">
        <f t="shared" si="36"/>
        <v>Europa | Italy | Lazio | Nettuno</v>
      </c>
      <c r="AI168" s="12" t="s">
        <v>73</v>
      </c>
      <c r="AJ168" s="12"/>
      <c r="AK168" s="12" t="s">
        <v>74</v>
      </c>
      <c r="AL168" s="12" t="str">
        <f t="shared" si="39"/>
        <v>ITA</v>
      </c>
      <c r="AM168" s="12" t="s">
        <v>75</v>
      </c>
      <c r="AN168" s="12" t="s">
        <v>570</v>
      </c>
      <c r="AO168" s="12" t="s">
        <v>57</v>
      </c>
      <c r="AP168" s="12" t="s">
        <v>77</v>
      </c>
      <c r="AQ168" s="12" t="s">
        <v>78</v>
      </c>
      <c r="AR168" s="12" t="s">
        <v>79</v>
      </c>
      <c r="AS168" s="12" t="s">
        <v>1338</v>
      </c>
      <c r="AT168" s="12" t="s">
        <v>80</v>
      </c>
      <c r="AU168" s="12" t="s">
        <v>567</v>
      </c>
      <c r="AV168" s="12">
        <v>1</v>
      </c>
      <c r="AW168" s="12">
        <v>1</v>
      </c>
      <c r="AX168" s="12" t="s">
        <v>81</v>
      </c>
      <c r="AY168" s="12" t="s">
        <v>82</v>
      </c>
      <c r="AZ168" s="12" t="s">
        <v>83</v>
      </c>
      <c r="BA168" s="12" t="s">
        <v>84</v>
      </c>
      <c r="BB168" s="12"/>
      <c r="BC168" s="27" t="s">
        <v>1819</v>
      </c>
      <c r="BD168" s="27" t="s">
        <v>1820</v>
      </c>
      <c r="BE168" s="12"/>
    </row>
    <row r="169" spans="1:57" x14ac:dyDescent="0.25">
      <c r="A169" s="12" t="s">
        <v>567</v>
      </c>
      <c r="B169" s="12" t="s">
        <v>57</v>
      </c>
      <c r="C169" s="12" t="s">
        <v>572</v>
      </c>
      <c r="D169" s="12" t="str">
        <f t="shared" si="40"/>
        <v/>
      </c>
      <c r="E169" s="23" t="str">
        <f t="shared" si="30"/>
        <v/>
      </c>
      <c r="F169" s="12">
        <v>1895</v>
      </c>
      <c r="G169" s="12" t="str">
        <f t="shared" si="32"/>
        <v/>
      </c>
      <c r="H169" s="12" t="str">
        <f t="shared" si="33"/>
        <v/>
      </c>
      <c r="I169" s="24" t="str">
        <f t="shared" si="37"/>
        <v>02/02/1895</v>
      </c>
      <c r="J169" s="12" t="s">
        <v>573</v>
      </c>
      <c r="K169" s="12" t="str">
        <f t="shared" si="34"/>
        <v>Ichthyaetus melanocephalus (Temminck, 1820)</v>
      </c>
      <c r="L169" s="12" t="str">
        <f t="shared" si="35"/>
        <v>Animalia|Chordata|Aves|Charadriiformes|Laridae|Ichthyaetus</v>
      </c>
      <c r="M169" s="12" t="s">
        <v>59</v>
      </c>
      <c r="N169" s="12" t="s">
        <v>60</v>
      </c>
      <c r="O169" s="12" t="s">
        <v>61</v>
      </c>
      <c r="P169" s="12" t="s">
        <v>381</v>
      </c>
      <c r="Q169" s="12" t="s">
        <v>551</v>
      </c>
      <c r="R169" s="12" t="s">
        <v>949</v>
      </c>
      <c r="S169" s="12" t="s">
        <v>574</v>
      </c>
      <c r="T169" s="12" t="s">
        <v>66</v>
      </c>
      <c r="U169" s="12" t="s">
        <v>575</v>
      </c>
      <c r="V169" s="12"/>
      <c r="W169" s="12" t="s">
        <v>68</v>
      </c>
      <c r="X169" s="12">
        <v>41.472641000000003</v>
      </c>
      <c r="Y169" s="12">
        <v>12.660299999999999</v>
      </c>
      <c r="Z169" s="14" t="s">
        <v>69</v>
      </c>
      <c r="AA169" s="12">
        <v>2795</v>
      </c>
      <c r="AB169" s="12" t="str">
        <f t="shared" si="38"/>
        <v>41.472641/12.6603</v>
      </c>
      <c r="AC169" s="13" t="s">
        <v>1473</v>
      </c>
      <c r="AD169" s="25">
        <v>46054</v>
      </c>
      <c r="AE169" s="14" t="s">
        <v>70</v>
      </c>
      <c r="AF169" s="14" t="s">
        <v>71</v>
      </c>
      <c r="AG169" s="14" t="s">
        <v>72</v>
      </c>
      <c r="AH169" s="12" t="str">
        <f t="shared" si="36"/>
        <v>Europa | Italy | Lazio | Fiumicino</v>
      </c>
      <c r="AI169" s="12" t="s">
        <v>73</v>
      </c>
      <c r="AJ169" s="12"/>
      <c r="AK169" s="12" t="s">
        <v>74</v>
      </c>
      <c r="AL169" s="12" t="str">
        <f t="shared" si="39"/>
        <v>ITA</v>
      </c>
      <c r="AM169" s="12" t="s">
        <v>75</v>
      </c>
      <c r="AN169" s="12" t="s">
        <v>386</v>
      </c>
      <c r="AO169" s="12" t="s">
        <v>57</v>
      </c>
      <c r="AP169" s="12" t="s">
        <v>77</v>
      </c>
      <c r="AQ169" s="12" t="s">
        <v>78</v>
      </c>
      <c r="AR169" s="12" t="s">
        <v>79</v>
      </c>
      <c r="AS169" s="12" t="s">
        <v>1339</v>
      </c>
      <c r="AT169" s="12" t="s">
        <v>80</v>
      </c>
      <c r="AU169" s="12" t="s">
        <v>571</v>
      </c>
      <c r="AV169" s="12">
        <v>1</v>
      </c>
      <c r="AW169" s="12">
        <v>1</v>
      </c>
      <c r="AX169" s="12" t="s">
        <v>81</v>
      </c>
      <c r="AY169" s="12" t="s">
        <v>82</v>
      </c>
      <c r="AZ169" s="12" t="s">
        <v>83</v>
      </c>
      <c r="BA169" s="12" t="s">
        <v>84</v>
      </c>
      <c r="BB169" s="12"/>
      <c r="BC169" s="27" t="s">
        <v>1821</v>
      </c>
      <c r="BD169" s="27" t="s">
        <v>1822</v>
      </c>
      <c r="BE169" s="12"/>
    </row>
    <row r="170" spans="1:57" x14ac:dyDescent="0.25">
      <c r="A170" s="12" t="s">
        <v>571</v>
      </c>
      <c r="B170" s="12" t="s">
        <v>57</v>
      </c>
      <c r="C170" s="25">
        <v>22177</v>
      </c>
      <c r="D170" s="12">
        <f t="shared" si="40"/>
        <v>262</v>
      </c>
      <c r="E170" s="23">
        <f t="shared" si="30"/>
        <v>262</v>
      </c>
      <c r="F170" s="12">
        <f t="shared" si="31"/>
        <v>1960</v>
      </c>
      <c r="G170" s="12">
        <f t="shared" si="32"/>
        <v>9</v>
      </c>
      <c r="H170" s="12">
        <f t="shared" si="33"/>
        <v>18</v>
      </c>
      <c r="I170" s="24">
        <f t="shared" si="37"/>
        <v>22177</v>
      </c>
      <c r="J170" s="12" t="s">
        <v>58</v>
      </c>
      <c r="K170" s="12" t="str">
        <f t="shared" si="34"/>
        <v>Otus scops (Linnaeus, 1758)</v>
      </c>
      <c r="L170" s="12" t="str">
        <f t="shared" si="35"/>
        <v>Animalia|Chordata|Aves|Strigiformes|Strigidae|Otus</v>
      </c>
      <c r="M170" s="12" t="s">
        <v>59</v>
      </c>
      <c r="N170" s="12" t="s">
        <v>60</v>
      </c>
      <c r="O170" s="12" t="s">
        <v>61</v>
      </c>
      <c r="P170" s="12" t="s">
        <v>241</v>
      </c>
      <c r="Q170" s="12" t="s">
        <v>242</v>
      </c>
      <c r="R170" s="12" t="s">
        <v>904</v>
      </c>
      <c r="S170" s="12" t="s">
        <v>254</v>
      </c>
      <c r="T170" s="12" t="s">
        <v>66</v>
      </c>
      <c r="U170" s="12" t="s">
        <v>255</v>
      </c>
      <c r="V170" s="12" t="s">
        <v>1165</v>
      </c>
      <c r="W170" s="12" t="s">
        <v>68</v>
      </c>
      <c r="X170" s="12">
        <v>41.777932999999997</v>
      </c>
      <c r="Y170" s="12">
        <v>12.297191</v>
      </c>
      <c r="Z170" s="14" t="s">
        <v>69</v>
      </c>
      <c r="AA170" s="12">
        <v>7066</v>
      </c>
      <c r="AB170" s="12" t="str">
        <f t="shared" si="38"/>
        <v>41.777933/12.297191</v>
      </c>
      <c r="AC170" s="13" t="s">
        <v>1473</v>
      </c>
      <c r="AD170" s="25">
        <v>46054</v>
      </c>
      <c r="AE170" s="14" t="s">
        <v>70</v>
      </c>
      <c r="AF170" s="14" t="s">
        <v>71</v>
      </c>
      <c r="AG170" s="14" t="s">
        <v>72</v>
      </c>
      <c r="AH170" s="12" t="str">
        <f t="shared" si="36"/>
        <v>Europa | Italy | Piedmont | Pietraporzio</v>
      </c>
      <c r="AI170" s="12" t="s">
        <v>73</v>
      </c>
      <c r="AJ170" s="12"/>
      <c r="AK170" s="12" t="s">
        <v>74</v>
      </c>
      <c r="AL170" s="12" t="str">
        <f t="shared" si="39"/>
        <v>ITA</v>
      </c>
      <c r="AM170" s="12" t="s">
        <v>90</v>
      </c>
      <c r="AN170" s="12" t="s">
        <v>220</v>
      </c>
      <c r="AO170" s="12" t="s">
        <v>57</v>
      </c>
      <c r="AP170" s="12" t="s">
        <v>77</v>
      </c>
      <c r="AQ170" s="12" t="s">
        <v>78</v>
      </c>
      <c r="AR170" s="12" t="s">
        <v>79</v>
      </c>
      <c r="AS170" s="12" t="s">
        <v>1340</v>
      </c>
      <c r="AT170" s="12" t="s">
        <v>92</v>
      </c>
      <c r="AU170" s="12" t="s">
        <v>576</v>
      </c>
      <c r="AV170" s="12">
        <v>1</v>
      </c>
      <c r="AW170" s="12">
        <v>1</v>
      </c>
      <c r="AX170" s="12" t="s">
        <v>81</v>
      </c>
      <c r="AY170" s="12" t="s">
        <v>82</v>
      </c>
      <c r="AZ170" s="12" t="s">
        <v>83</v>
      </c>
      <c r="BA170" s="12" t="s">
        <v>84</v>
      </c>
      <c r="BB170" s="12"/>
      <c r="BC170" s="27" t="s">
        <v>1823</v>
      </c>
      <c r="BD170" s="27" t="s">
        <v>1824</v>
      </c>
      <c r="BE170" s="12"/>
    </row>
    <row r="171" spans="1:57" x14ac:dyDescent="0.25">
      <c r="A171" s="12" t="s">
        <v>576</v>
      </c>
      <c r="B171" s="12" t="s">
        <v>57</v>
      </c>
      <c r="C171" s="12">
        <v>1970</v>
      </c>
      <c r="D171" s="12"/>
      <c r="E171" s="23"/>
      <c r="F171" s="12">
        <f t="shared" si="31"/>
        <v>1970</v>
      </c>
      <c r="G171" s="12"/>
      <c r="H171" s="12"/>
      <c r="I171" s="24">
        <f t="shared" si="37"/>
        <v>1970</v>
      </c>
      <c r="J171" s="12" t="s">
        <v>578</v>
      </c>
      <c r="K171" s="12" t="str">
        <f t="shared" si="34"/>
        <v>Tyto alba (Scopoli, 1769)</v>
      </c>
      <c r="L171" s="12" t="str">
        <f t="shared" si="35"/>
        <v>Animalia|Chordata|Aves|Strigiformes|Tytonidae|Tyto</v>
      </c>
      <c r="M171" s="12" t="s">
        <v>59</v>
      </c>
      <c r="N171" s="12" t="s">
        <v>60</v>
      </c>
      <c r="O171" s="12" t="s">
        <v>61</v>
      </c>
      <c r="P171" s="12" t="s">
        <v>241</v>
      </c>
      <c r="Q171" s="12" t="s">
        <v>579</v>
      </c>
      <c r="R171" s="12" t="s">
        <v>950</v>
      </c>
      <c r="S171" s="12" t="s">
        <v>352</v>
      </c>
      <c r="T171" s="12" t="s">
        <v>66</v>
      </c>
      <c r="U171" s="12" t="s">
        <v>580</v>
      </c>
      <c r="V171" s="12" t="s">
        <v>1165</v>
      </c>
      <c r="W171" s="12" t="s">
        <v>68</v>
      </c>
      <c r="X171" s="12">
        <v>44.342540999999997</v>
      </c>
      <c r="Y171" s="12">
        <v>7.0318740000000002</v>
      </c>
      <c r="Z171" s="14" t="s">
        <v>69</v>
      </c>
      <c r="AA171" s="12">
        <v>1156</v>
      </c>
      <c r="AB171" s="12" t="str">
        <f t="shared" si="38"/>
        <v>44.342541/7.031874</v>
      </c>
      <c r="AC171" s="13" t="s">
        <v>1473</v>
      </c>
      <c r="AD171" s="25">
        <v>46054</v>
      </c>
      <c r="AE171" s="14" t="s">
        <v>70</v>
      </c>
      <c r="AF171" s="14" t="s">
        <v>71</v>
      </c>
      <c r="AG171" s="14" t="s">
        <v>72</v>
      </c>
      <c r="AH171" s="12" t="str">
        <f t="shared" si="36"/>
        <v>Europa | Italy | Piedmont | Sambuco</v>
      </c>
      <c r="AI171" s="12" t="s">
        <v>73</v>
      </c>
      <c r="AJ171" s="12"/>
      <c r="AK171" s="12" t="s">
        <v>74</v>
      </c>
      <c r="AL171" s="12" t="str">
        <f t="shared" si="39"/>
        <v>ITA</v>
      </c>
      <c r="AM171" s="12" t="s">
        <v>90</v>
      </c>
      <c r="AN171" s="12" t="s">
        <v>1480</v>
      </c>
      <c r="AO171" s="12" t="s">
        <v>57</v>
      </c>
      <c r="AP171" s="12" t="s">
        <v>77</v>
      </c>
      <c r="AQ171" s="12" t="s">
        <v>78</v>
      </c>
      <c r="AR171" s="12" t="s">
        <v>79</v>
      </c>
      <c r="AS171" s="12" t="s">
        <v>1341</v>
      </c>
      <c r="AT171" s="12"/>
      <c r="AU171" s="12" t="s">
        <v>577</v>
      </c>
      <c r="AV171" s="12">
        <v>1</v>
      </c>
      <c r="AW171" s="12">
        <v>1</v>
      </c>
      <c r="AX171" s="12" t="s">
        <v>81</v>
      </c>
      <c r="AY171" s="12" t="s">
        <v>82</v>
      </c>
      <c r="AZ171" s="12" t="s">
        <v>83</v>
      </c>
      <c r="BA171" s="12" t="s">
        <v>84</v>
      </c>
      <c r="BB171" s="12"/>
      <c r="BC171" s="27" t="s">
        <v>1825</v>
      </c>
      <c r="BD171" s="27" t="s">
        <v>1826</v>
      </c>
      <c r="BE171" s="12"/>
    </row>
    <row r="172" spans="1:57" x14ac:dyDescent="0.25">
      <c r="A172" s="12" t="s">
        <v>577</v>
      </c>
      <c r="B172" s="12" t="s">
        <v>57</v>
      </c>
      <c r="C172" s="25">
        <v>22579</v>
      </c>
      <c r="D172" s="12">
        <f t="shared" si="40"/>
        <v>298</v>
      </c>
      <c r="E172" s="23">
        <f t="shared" si="30"/>
        <v>298</v>
      </c>
      <c r="F172" s="12">
        <f t="shared" si="31"/>
        <v>1961</v>
      </c>
      <c r="G172" s="12">
        <f t="shared" si="32"/>
        <v>10</v>
      </c>
      <c r="H172" s="12">
        <f t="shared" si="33"/>
        <v>25</v>
      </c>
      <c r="I172" s="24">
        <f t="shared" si="37"/>
        <v>22579</v>
      </c>
      <c r="J172" s="12" t="s">
        <v>58</v>
      </c>
      <c r="K172" s="12" t="str">
        <f t="shared" si="34"/>
        <v>Strix aluco (Linnaeus, 1758)</v>
      </c>
      <c r="L172" s="12" t="str">
        <f t="shared" si="35"/>
        <v>Animalia|Chordata|Aves|Strigiformes|Strigidae|Strix</v>
      </c>
      <c r="M172" s="12" t="s">
        <v>59</v>
      </c>
      <c r="N172" s="12" t="s">
        <v>60</v>
      </c>
      <c r="O172" s="12" t="s">
        <v>61</v>
      </c>
      <c r="P172" s="12" t="s">
        <v>241</v>
      </c>
      <c r="Q172" s="12" t="s">
        <v>242</v>
      </c>
      <c r="R172" s="12" t="s">
        <v>903</v>
      </c>
      <c r="S172" s="12" t="s">
        <v>250</v>
      </c>
      <c r="T172" s="12" t="s">
        <v>66</v>
      </c>
      <c r="U172" s="12" t="s">
        <v>251</v>
      </c>
      <c r="V172" s="12"/>
      <c r="W172" s="12" t="s">
        <v>68</v>
      </c>
      <c r="X172" s="12">
        <v>44.294600000000003</v>
      </c>
      <c r="Y172" s="12">
        <v>7.4298000000000002</v>
      </c>
      <c r="Z172" s="14" t="s">
        <v>69</v>
      </c>
      <c r="AA172" s="12">
        <v>1500</v>
      </c>
      <c r="AB172" s="12" t="str">
        <f t="shared" si="38"/>
        <v>44.2946/7.4298</v>
      </c>
      <c r="AC172" s="13" t="s">
        <v>1473</v>
      </c>
      <c r="AD172" s="25">
        <v>46054</v>
      </c>
      <c r="AE172" s="14" t="s">
        <v>70</v>
      </c>
      <c r="AF172" s="14" t="s">
        <v>71</v>
      </c>
      <c r="AG172" s="14" t="s">
        <v>72</v>
      </c>
      <c r="AH172" s="12" t="str">
        <f t="shared" si="36"/>
        <v>Europa | Italy | Piedmont | Andonno</v>
      </c>
      <c r="AI172" s="12" t="s">
        <v>73</v>
      </c>
      <c r="AJ172" s="12"/>
      <c r="AK172" s="12" t="s">
        <v>74</v>
      </c>
      <c r="AL172" s="12" t="str">
        <f t="shared" si="39"/>
        <v>ITA</v>
      </c>
      <c r="AM172" s="12" t="s">
        <v>90</v>
      </c>
      <c r="AN172" s="12" t="s">
        <v>582</v>
      </c>
      <c r="AO172" s="12" t="s">
        <v>57</v>
      </c>
      <c r="AP172" s="12" t="s">
        <v>77</v>
      </c>
      <c r="AQ172" s="12" t="s">
        <v>78</v>
      </c>
      <c r="AR172" s="12" t="s">
        <v>79</v>
      </c>
      <c r="AS172" s="12" t="s">
        <v>1342</v>
      </c>
      <c r="AT172" s="12" t="s">
        <v>92</v>
      </c>
      <c r="AU172" s="12" t="s">
        <v>581</v>
      </c>
      <c r="AV172" s="12">
        <v>1</v>
      </c>
      <c r="AW172" s="12">
        <v>1</v>
      </c>
      <c r="AX172" s="12" t="s">
        <v>81</v>
      </c>
      <c r="AY172" s="12" t="s">
        <v>82</v>
      </c>
      <c r="AZ172" s="12" t="s">
        <v>83</v>
      </c>
      <c r="BA172" s="12" t="s">
        <v>84</v>
      </c>
      <c r="BB172" s="12"/>
      <c r="BC172" s="27" t="s">
        <v>1827</v>
      </c>
      <c r="BD172" s="27" t="s">
        <v>1828</v>
      </c>
      <c r="BE172" s="12"/>
    </row>
    <row r="173" spans="1:57" x14ac:dyDescent="0.25">
      <c r="A173" s="12" t="s">
        <v>581</v>
      </c>
      <c r="B173" s="12" t="s">
        <v>57</v>
      </c>
      <c r="C173" s="25">
        <v>21280</v>
      </c>
      <c r="D173" s="12">
        <f t="shared" si="40"/>
        <v>95</v>
      </c>
      <c r="E173" s="23">
        <f t="shared" si="30"/>
        <v>95</v>
      </c>
      <c r="F173" s="12">
        <f t="shared" si="31"/>
        <v>1958</v>
      </c>
      <c r="G173" s="12">
        <f t="shared" si="32"/>
        <v>4</v>
      </c>
      <c r="H173" s="12">
        <f t="shared" si="33"/>
        <v>5</v>
      </c>
      <c r="I173" s="24">
        <f t="shared" si="37"/>
        <v>21280</v>
      </c>
      <c r="J173" s="12" t="s">
        <v>58</v>
      </c>
      <c r="K173" s="12" t="str">
        <f t="shared" si="34"/>
        <v>Strix aluco (Linnaeus, 1758)</v>
      </c>
      <c r="L173" s="12" t="str">
        <f t="shared" si="35"/>
        <v>Animalia|Chordata|Aves|Strigiformes|Strigidae|Strix</v>
      </c>
      <c r="M173" s="12" t="s">
        <v>59</v>
      </c>
      <c r="N173" s="12" t="s">
        <v>60</v>
      </c>
      <c r="O173" s="12" t="s">
        <v>61</v>
      </c>
      <c r="P173" s="12" t="s">
        <v>241</v>
      </c>
      <c r="Q173" s="12" t="s">
        <v>242</v>
      </c>
      <c r="R173" s="12" t="s">
        <v>903</v>
      </c>
      <c r="S173" s="12" t="s">
        <v>250</v>
      </c>
      <c r="T173" s="12" t="s">
        <v>66</v>
      </c>
      <c r="U173" s="12" t="s">
        <v>251</v>
      </c>
      <c r="V173" s="12"/>
      <c r="W173" s="12" t="s">
        <v>68</v>
      </c>
      <c r="X173" s="12">
        <v>44.296191</v>
      </c>
      <c r="Y173" s="12">
        <v>7.4305859999999999</v>
      </c>
      <c r="Z173" s="14" t="s">
        <v>69</v>
      </c>
      <c r="AA173" s="12">
        <v>1244</v>
      </c>
      <c r="AB173" s="12" t="str">
        <f t="shared" si="38"/>
        <v>44.296191/7.430586</v>
      </c>
      <c r="AC173" s="13" t="s">
        <v>1473</v>
      </c>
      <c r="AD173" s="25">
        <v>46054</v>
      </c>
      <c r="AE173" s="14" t="s">
        <v>70</v>
      </c>
      <c r="AF173" s="14" t="s">
        <v>71</v>
      </c>
      <c r="AG173" s="14" t="s">
        <v>72</v>
      </c>
      <c r="AH173" s="12" t="str">
        <f t="shared" si="36"/>
        <v>Europa | Italy | Piedmont | Bernezzo</v>
      </c>
      <c r="AI173" s="12" t="s">
        <v>73</v>
      </c>
      <c r="AJ173" s="12"/>
      <c r="AK173" s="12" t="s">
        <v>74</v>
      </c>
      <c r="AL173" s="12" t="str">
        <f t="shared" si="39"/>
        <v>ITA</v>
      </c>
      <c r="AM173" s="12" t="s">
        <v>90</v>
      </c>
      <c r="AN173" s="12" t="s">
        <v>584</v>
      </c>
      <c r="AO173" s="12" t="s">
        <v>57</v>
      </c>
      <c r="AP173" s="12" t="s">
        <v>77</v>
      </c>
      <c r="AQ173" s="12" t="s">
        <v>78</v>
      </c>
      <c r="AR173" s="12" t="s">
        <v>79</v>
      </c>
      <c r="AS173" s="12" t="s">
        <v>1343</v>
      </c>
      <c r="AT173" s="12" t="s">
        <v>92</v>
      </c>
      <c r="AU173" s="12" t="s">
        <v>583</v>
      </c>
      <c r="AV173" s="12">
        <v>1</v>
      </c>
      <c r="AW173" s="12">
        <v>1</v>
      </c>
      <c r="AX173" s="12" t="s">
        <v>81</v>
      </c>
      <c r="AY173" s="12" t="s">
        <v>82</v>
      </c>
      <c r="AZ173" s="12" t="s">
        <v>83</v>
      </c>
      <c r="BA173" s="12" t="s">
        <v>84</v>
      </c>
      <c r="BB173" s="12"/>
      <c r="BC173" s="27" t="s">
        <v>1829</v>
      </c>
      <c r="BD173" s="27" t="s">
        <v>1830</v>
      </c>
      <c r="BE173" s="12"/>
    </row>
    <row r="174" spans="1:57" x14ac:dyDescent="0.25">
      <c r="A174" s="12" t="s">
        <v>583</v>
      </c>
      <c r="B174" s="12" t="s">
        <v>57</v>
      </c>
      <c r="C174" s="25">
        <v>21800</v>
      </c>
      <c r="D174" s="12">
        <f t="shared" si="40"/>
        <v>250</v>
      </c>
      <c r="E174" s="23">
        <f t="shared" si="30"/>
        <v>250</v>
      </c>
      <c r="F174" s="12">
        <f t="shared" si="31"/>
        <v>1959</v>
      </c>
      <c r="G174" s="12">
        <f t="shared" si="32"/>
        <v>9</v>
      </c>
      <c r="H174" s="12">
        <f t="shared" si="33"/>
        <v>7</v>
      </c>
      <c r="I174" s="24">
        <f t="shared" si="37"/>
        <v>21800</v>
      </c>
      <c r="J174" s="12" t="s">
        <v>58</v>
      </c>
      <c r="K174" s="12" t="str">
        <f t="shared" si="34"/>
        <v>Glaucidium passerinum (Linnaeus, 1758)</v>
      </c>
      <c r="L174" s="12" t="str">
        <f t="shared" si="35"/>
        <v>Animalia|Chordata|Aves|Strigiformes|Strigidae|Glaucidium</v>
      </c>
      <c r="M174" s="12" t="s">
        <v>59</v>
      </c>
      <c r="N174" s="12" t="s">
        <v>60</v>
      </c>
      <c r="O174" s="12" t="s">
        <v>61</v>
      </c>
      <c r="P174" s="12" t="s">
        <v>241</v>
      </c>
      <c r="Q174" s="12" t="s">
        <v>242</v>
      </c>
      <c r="R174" s="12" t="s">
        <v>951</v>
      </c>
      <c r="S174" s="12" t="s">
        <v>586</v>
      </c>
      <c r="T174" s="12" t="s">
        <v>66</v>
      </c>
      <c r="U174" s="12" t="s">
        <v>587</v>
      </c>
      <c r="V174" s="12" t="s">
        <v>1165</v>
      </c>
      <c r="W174" s="12" t="s">
        <v>68</v>
      </c>
      <c r="X174" s="12">
        <v>44.381447999999999</v>
      </c>
      <c r="Y174" s="12">
        <v>7.4333629999999999</v>
      </c>
      <c r="Z174" s="14" t="s">
        <v>69</v>
      </c>
      <c r="AA174" s="12">
        <v>1385</v>
      </c>
      <c r="AB174" s="12" t="str">
        <f t="shared" si="38"/>
        <v>44.381448/7.433363</v>
      </c>
      <c r="AC174" s="13" t="s">
        <v>1473</v>
      </c>
      <c r="AD174" s="25">
        <v>46054</v>
      </c>
      <c r="AE174" s="14" t="s">
        <v>70</v>
      </c>
      <c r="AF174" s="14" t="s">
        <v>71</v>
      </c>
      <c r="AG174" s="14" t="s">
        <v>72</v>
      </c>
      <c r="AH174" s="12" t="str">
        <f t="shared" si="36"/>
        <v>Europa | Italy | Piedmont | La Cascina, Cuneo</v>
      </c>
      <c r="AI174" s="12" t="s">
        <v>73</v>
      </c>
      <c r="AJ174" s="12"/>
      <c r="AK174" s="12" t="s">
        <v>74</v>
      </c>
      <c r="AL174" s="12" t="str">
        <f t="shared" si="39"/>
        <v>ITA</v>
      </c>
      <c r="AM174" s="12" t="s">
        <v>90</v>
      </c>
      <c r="AN174" s="12" t="s">
        <v>1484</v>
      </c>
      <c r="AO174" s="12" t="s">
        <v>57</v>
      </c>
      <c r="AP174" s="12" t="s">
        <v>77</v>
      </c>
      <c r="AQ174" s="12" t="s">
        <v>78</v>
      </c>
      <c r="AR174" s="12" t="s">
        <v>79</v>
      </c>
      <c r="AS174" s="12" t="s">
        <v>1344</v>
      </c>
      <c r="AT174" s="12"/>
      <c r="AU174" s="12" t="s">
        <v>585</v>
      </c>
      <c r="AV174" s="12">
        <v>1</v>
      </c>
      <c r="AW174" s="12">
        <v>1</v>
      </c>
      <c r="AX174" s="12" t="s">
        <v>81</v>
      </c>
      <c r="AY174" s="12" t="s">
        <v>82</v>
      </c>
      <c r="AZ174" s="12" t="s">
        <v>83</v>
      </c>
      <c r="BA174" s="12" t="s">
        <v>84</v>
      </c>
      <c r="BB174" s="12"/>
      <c r="BC174" s="27" t="s">
        <v>1831</v>
      </c>
      <c r="BD174" s="27" t="s">
        <v>1832</v>
      </c>
      <c r="BE174" s="12"/>
    </row>
    <row r="175" spans="1:57" x14ac:dyDescent="0.25">
      <c r="A175" s="12" t="s">
        <v>585</v>
      </c>
      <c r="B175" s="12" t="s">
        <v>57</v>
      </c>
      <c r="C175" s="25">
        <v>21575</v>
      </c>
      <c r="D175" s="12">
        <f t="shared" si="40"/>
        <v>25</v>
      </c>
      <c r="E175" s="23">
        <f t="shared" si="30"/>
        <v>25</v>
      </c>
      <c r="F175" s="12">
        <f t="shared" si="31"/>
        <v>1959</v>
      </c>
      <c r="G175" s="12">
        <f t="shared" si="32"/>
        <v>1</v>
      </c>
      <c r="H175" s="12">
        <f t="shared" si="33"/>
        <v>25</v>
      </c>
      <c r="I175" s="24">
        <f t="shared" si="37"/>
        <v>21575</v>
      </c>
      <c r="J175" s="12" t="s">
        <v>240</v>
      </c>
      <c r="K175" s="12" t="str">
        <f t="shared" si="34"/>
        <v>Athene noctua (Scopoli, 1769)</v>
      </c>
      <c r="L175" s="12" t="str">
        <f t="shared" si="35"/>
        <v>Animalia|Chordata|Aves|Strigiformes|Strigidae|Athene</v>
      </c>
      <c r="M175" s="12" t="s">
        <v>59</v>
      </c>
      <c r="N175" s="12" t="s">
        <v>60</v>
      </c>
      <c r="O175" s="12" t="s">
        <v>61</v>
      </c>
      <c r="P175" s="12" t="s">
        <v>241</v>
      </c>
      <c r="Q175" s="12" t="s">
        <v>242</v>
      </c>
      <c r="R175" s="12" t="s">
        <v>901</v>
      </c>
      <c r="S175" s="12" t="s">
        <v>243</v>
      </c>
      <c r="T175" s="12" t="s">
        <v>66</v>
      </c>
      <c r="U175" s="12" t="s">
        <v>244</v>
      </c>
      <c r="V175" s="12" t="s">
        <v>1165</v>
      </c>
      <c r="W175" s="12" t="s">
        <v>68</v>
      </c>
      <c r="X175" s="12">
        <v>44.393961317324397</v>
      </c>
      <c r="Y175" s="12">
        <v>7.5159478748405704</v>
      </c>
      <c r="Z175" s="14" t="s">
        <v>69</v>
      </c>
      <c r="AA175" s="12" t="s">
        <v>1472</v>
      </c>
      <c r="AB175" s="12" t="str">
        <f t="shared" si="38"/>
        <v>44.3939613173244/7.51594787484057</v>
      </c>
      <c r="AC175" s="13" t="s">
        <v>1473</v>
      </c>
      <c r="AD175" s="25">
        <v>46054</v>
      </c>
      <c r="AE175" s="14" t="s">
        <v>70</v>
      </c>
      <c r="AF175" s="14" t="s">
        <v>71</v>
      </c>
      <c r="AG175" s="14" t="s">
        <v>72</v>
      </c>
      <c r="AH175" s="12" t="str">
        <f t="shared" si="36"/>
        <v>Europa | Italy | Piedmont | Confreria</v>
      </c>
      <c r="AI175" s="12" t="s">
        <v>73</v>
      </c>
      <c r="AJ175" s="12"/>
      <c r="AK175" s="12" t="s">
        <v>74</v>
      </c>
      <c r="AL175" s="12" t="str">
        <f t="shared" si="39"/>
        <v>ITA</v>
      </c>
      <c r="AM175" s="12" t="s">
        <v>90</v>
      </c>
      <c r="AN175" s="12" t="s">
        <v>589</v>
      </c>
      <c r="AO175" s="12" t="s">
        <v>57</v>
      </c>
      <c r="AP175" s="12" t="s">
        <v>77</v>
      </c>
      <c r="AQ175" s="12" t="s">
        <v>78</v>
      </c>
      <c r="AR175" s="12" t="s">
        <v>79</v>
      </c>
      <c r="AS175" s="12" t="s">
        <v>1345</v>
      </c>
      <c r="AT175" s="12" t="s">
        <v>80</v>
      </c>
      <c r="AU175" s="12" t="s">
        <v>588</v>
      </c>
      <c r="AV175" s="12">
        <v>1</v>
      </c>
      <c r="AW175" s="12">
        <v>1</v>
      </c>
      <c r="AX175" s="12" t="s">
        <v>81</v>
      </c>
      <c r="AY175" s="12" t="s">
        <v>82</v>
      </c>
      <c r="AZ175" s="12" t="s">
        <v>83</v>
      </c>
      <c r="BA175" s="12" t="s">
        <v>84</v>
      </c>
      <c r="BB175" s="12"/>
      <c r="BC175" s="27" t="s">
        <v>1833</v>
      </c>
      <c r="BD175" s="27" t="s">
        <v>1834</v>
      </c>
      <c r="BE175" s="12"/>
    </row>
    <row r="176" spans="1:57" x14ac:dyDescent="0.25">
      <c r="A176" s="12" t="s">
        <v>588</v>
      </c>
      <c r="B176" s="12" t="s">
        <v>57</v>
      </c>
      <c r="C176" s="25">
        <v>21888</v>
      </c>
      <c r="D176" s="12">
        <f t="shared" si="40"/>
        <v>338</v>
      </c>
      <c r="E176" s="23">
        <f t="shared" si="30"/>
        <v>338</v>
      </c>
      <c r="F176" s="12">
        <f t="shared" si="31"/>
        <v>1959</v>
      </c>
      <c r="G176" s="12">
        <f t="shared" si="32"/>
        <v>12</v>
      </c>
      <c r="H176" s="12">
        <f t="shared" si="33"/>
        <v>4</v>
      </c>
      <c r="I176" s="24">
        <f t="shared" si="37"/>
        <v>21888</v>
      </c>
      <c r="J176" s="12" t="s">
        <v>328</v>
      </c>
      <c r="K176" s="12" t="str">
        <f t="shared" si="34"/>
        <v>Asio flammeus (Pontoppidan, 1763)</v>
      </c>
      <c r="L176" s="12" t="str">
        <f t="shared" si="35"/>
        <v>Animalia|Chordata|Aves|Strigiformes|Strigidae|Asio</v>
      </c>
      <c r="M176" s="12" t="s">
        <v>59</v>
      </c>
      <c r="N176" s="12" t="s">
        <v>60</v>
      </c>
      <c r="O176" s="12" t="s">
        <v>61</v>
      </c>
      <c r="P176" s="12" t="s">
        <v>241</v>
      </c>
      <c r="Q176" s="12" t="s">
        <v>242</v>
      </c>
      <c r="R176" s="12" t="s">
        <v>952</v>
      </c>
      <c r="S176" s="12" t="s">
        <v>591</v>
      </c>
      <c r="T176" s="12" t="s">
        <v>66</v>
      </c>
      <c r="U176" s="12" t="s">
        <v>592</v>
      </c>
      <c r="V176" s="12" t="s">
        <v>1165</v>
      </c>
      <c r="W176" s="12" t="s">
        <v>68</v>
      </c>
      <c r="X176" s="12">
        <v>44.389569999999999</v>
      </c>
      <c r="Y176" s="12">
        <v>7.513522</v>
      </c>
      <c r="Z176" s="14" t="s">
        <v>69</v>
      </c>
      <c r="AA176" s="12">
        <v>2568</v>
      </c>
      <c r="AB176" s="12" t="str">
        <f t="shared" si="38"/>
        <v>44.38957/7.513522</v>
      </c>
      <c r="AC176" s="13" t="s">
        <v>1473</v>
      </c>
      <c r="AD176" s="25">
        <v>46054</v>
      </c>
      <c r="AE176" s="14" t="s">
        <v>70</v>
      </c>
      <c r="AF176" s="14" t="s">
        <v>71</v>
      </c>
      <c r="AG176" s="14" t="s">
        <v>72</v>
      </c>
      <c r="AH176" s="12" t="str">
        <f t="shared" si="36"/>
        <v>Europa | Italy | Piedmont | Limone Piemonte</v>
      </c>
      <c r="AI176" s="12" t="s">
        <v>73</v>
      </c>
      <c r="AJ176" s="12"/>
      <c r="AK176" s="12" t="s">
        <v>74</v>
      </c>
      <c r="AL176" s="12" t="str">
        <f t="shared" si="39"/>
        <v>ITA</v>
      </c>
      <c r="AM176" s="12" t="s">
        <v>90</v>
      </c>
      <c r="AN176" s="12" t="s">
        <v>91</v>
      </c>
      <c r="AO176" s="12" t="s">
        <v>57</v>
      </c>
      <c r="AP176" s="12" t="s">
        <v>77</v>
      </c>
      <c r="AQ176" s="12" t="s">
        <v>78</v>
      </c>
      <c r="AR176" s="12" t="s">
        <v>79</v>
      </c>
      <c r="AS176" s="12" t="s">
        <v>1346</v>
      </c>
      <c r="AT176" s="12" t="s">
        <v>80</v>
      </c>
      <c r="AU176" s="12" t="s">
        <v>590</v>
      </c>
      <c r="AV176" s="12">
        <v>1</v>
      </c>
      <c r="AW176" s="12">
        <v>1</v>
      </c>
      <c r="AX176" s="12" t="s">
        <v>81</v>
      </c>
      <c r="AY176" s="12" t="s">
        <v>82</v>
      </c>
      <c r="AZ176" s="12" t="s">
        <v>83</v>
      </c>
      <c r="BA176" s="12" t="s">
        <v>84</v>
      </c>
      <c r="BB176" s="12"/>
      <c r="BC176" s="27" t="s">
        <v>1835</v>
      </c>
      <c r="BD176" s="27" t="s">
        <v>1836</v>
      </c>
      <c r="BE176" s="12"/>
    </row>
    <row r="177" spans="1:57" x14ac:dyDescent="0.25">
      <c r="A177" s="12" t="s">
        <v>590</v>
      </c>
      <c r="B177" s="12" t="s">
        <v>57</v>
      </c>
      <c r="C177" s="25">
        <v>22575</v>
      </c>
      <c r="D177" s="12">
        <f t="shared" si="40"/>
        <v>294</v>
      </c>
      <c r="E177" s="23">
        <f t="shared" si="30"/>
        <v>294</v>
      </c>
      <c r="F177" s="12">
        <f t="shared" si="31"/>
        <v>1961</v>
      </c>
      <c r="G177" s="12">
        <f t="shared" si="32"/>
        <v>10</v>
      </c>
      <c r="H177" s="12">
        <f t="shared" si="33"/>
        <v>21</v>
      </c>
      <c r="I177" s="24">
        <f t="shared" si="37"/>
        <v>22575</v>
      </c>
      <c r="J177" s="12" t="s">
        <v>328</v>
      </c>
      <c r="K177" s="12" t="str">
        <f t="shared" si="34"/>
        <v>Asio flammeus (Pontoppidan, 1763)</v>
      </c>
      <c r="L177" s="12" t="str">
        <f t="shared" si="35"/>
        <v>Animalia|Chordata|Aves|Strigiformes|Strigidae|Asio</v>
      </c>
      <c r="M177" s="12" t="s">
        <v>59</v>
      </c>
      <c r="N177" s="12" t="s">
        <v>60</v>
      </c>
      <c r="O177" s="12" t="s">
        <v>61</v>
      </c>
      <c r="P177" s="12" t="s">
        <v>241</v>
      </c>
      <c r="Q177" s="12" t="s">
        <v>242</v>
      </c>
      <c r="R177" s="12" t="s">
        <v>952</v>
      </c>
      <c r="S177" s="12" t="s">
        <v>591</v>
      </c>
      <c r="T177" s="12" t="s">
        <v>66</v>
      </c>
      <c r="U177" s="12" t="s">
        <v>592</v>
      </c>
      <c r="V177" s="12" t="s">
        <v>1165</v>
      </c>
      <c r="W177" s="12" t="s">
        <v>68</v>
      </c>
      <c r="X177" s="12">
        <v>44.200369000000002</v>
      </c>
      <c r="Y177" s="12">
        <v>7.5717309999999998</v>
      </c>
      <c r="Z177" s="14" t="s">
        <v>69</v>
      </c>
      <c r="AA177" s="12">
        <v>1470</v>
      </c>
      <c r="AB177" s="12" t="str">
        <f t="shared" si="38"/>
        <v>44.200369/7.571731</v>
      </c>
      <c r="AC177" s="13" t="s">
        <v>1473</v>
      </c>
      <c r="AD177" s="25">
        <v>46054</v>
      </c>
      <c r="AE177" s="14" t="s">
        <v>70</v>
      </c>
      <c r="AF177" s="14" t="s">
        <v>71</v>
      </c>
      <c r="AG177" s="14" t="s">
        <v>72</v>
      </c>
      <c r="AH177" s="12" t="str">
        <f t="shared" si="36"/>
        <v>Europa | Italy | Piedmont | Limone Piemonte</v>
      </c>
      <c r="AI177" s="12" t="s">
        <v>73</v>
      </c>
      <c r="AJ177" s="12"/>
      <c r="AK177" s="12" t="s">
        <v>74</v>
      </c>
      <c r="AL177" s="12" t="str">
        <f t="shared" si="39"/>
        <v>ITA</v>
      </c>
      <c r="AM177" s="12" t="s">
        <v>90</v>
      </c>
      <c r="AN177" s="12" t="s">
        <v>91</v>
      </c>
      <c r="AO177" s="12" t="s">
        <v>57</v>
      </c>
      <c r="AP177" s="12" t="s">
        <v>77</v>
      </c>
      <c r="AQ177" s="12" t="s">
        <v>78</v>
      </c>
      <c r="AR177" s="12" t="s">
        <v>79</v>
      </c>
      <c r="AS177" s="12" t="s">
        <v>1347</v>
      </c>
      <c r="AT177" s="12" t="s">
        <v>92</v>
      </c>
      <c r="AU177" s="12" t="s">
        <v>593</v>
      </c>
      <c r="AV177" s="12">
        <v>1</v>
      </c>
      <c r="AW177" s="12">
        <v>1</v>
      </c>
      <c r="AX177" s="12" t="s">
        <v>81</v>
      </c>
      <c r="AY177" s="12" t="s">
        <v>82</v>
      </c>
      <c r="AZ177" s="12" t="s">
        <v>83</v>
      </c>
      <c r="BA177" s="12" t="s">
        <v>84</v>
      </c>
      <c r="BB177" s="12"/>
      <c r="BC177" s="27" t="s">
        <v>1837</v>
      </c>
      <c r="BD177" s="27" t="s">
        <v>1838</v>
      </c>
      <c r="BE177" s="12"/>
    </row>
    <row r="178" spans="1:57" x14ac:dyDescent="0.25">
      <c r="A178" s="12" t="s">
        <v>593</v>
      </c>
      <c r="B178" s="12" t="s">
        <v>57</v>
      </c>
      <c r="C178" s="12">
        <v>1963</v>
      </c>
      <c r="D178" s="12"/>
      <c r="E178" s="23"/>
      <c r="F178" s="12">
        <f t="shared" si="31"/>
        <v>1963</v>
      </c>
      <c r="G178" s="12"/>
      <c r="H178" s="12"/>
      <c r="I178" s="24">
        <f t="shared" si="37"/>
        <v>1963</v>
      </c>
      <c r="J178" s="12" t="s">
        <v>58</v>
      </c>
      <c r="K178" s="12" t="str">
        <f t="shared" si="34"/>
        <v>Asio otus (Linnaeus, 1758)</v>
      </c>
      <c r="L178" s="12" t="str">
        <f t="shared" si="35"/>
        <v>Animalia|Chordata|Aves|Strigiformes|Strigidae|Asio</v>
      </c>
      <c r="M178" s="12" t="s">
        <v>59</v>
      </c>
      <c r="N178" s="12" t="s">
        <v>60</v>
      </c>
      <c r="O178" s="12" t="s">
        <v>61</v>
      </c>
      <c r="P178" s="12" t="s">
        <v>241</v>
      </c>
      <c r="Q178" s="12" t="s">
        <v>242</v>
      </c>
      <c r="R178" s="12" t="s">
        <v>952</v>
      </c>
      <c r="S178" s="12" t="s">
        <v>595</v>
      </c>
      <c r="T178" s="12" t="s">
        <v>66</v>
      </c>
      <c r="U178" s="12" t="s">
        <v>596</v>
      </c>
      <c r="V178" s="12" t="s">
        <v>1165</v>
      </c>
      <c r="W178" s="12" t="s">
        <v>68</v>
      </c>
      <c r="X178" s="12">
        <v>44.200369000000002</v>
      </c>
      <c r="Y178" s="12">
        <v>7.5717309999999998</v>
      </c>
      <c r="Z178" s="14" t="s">
        <v>69</v>
      </c>
      <c r="AA178" s="12">
        <v>1470</v>
      </c>
      <c r="AB178" s="12" t="str">
        <f t="shared" si="38"/>
        <v>44.200369/7.571731</v>
      </c>
      <c r="AC178" s="13" t="s">
        <v>1473</v>
      </c>
      <c r="AD178" s="25">
        <v>46054</v>
      </c>
      <c r="AE178" s="14" t="s">
        <v>70</v>
      </c>
      <c r="AF178" s="14" t="s">
        <v>71</v>
      </c>
      <c r="AG178" s="14" t="s">
        <v>72</v>
      </c>
      <c r="AH178" s="12" t="str">
        <f t="shared" si="36"/>
        <v>Europa | Italy | Piedmont | Pietraporzio</v>
      </c>
      <c r="AI178" s="12" t="s">
        <v>73</v>
      </c>
      <c r="AJ178" s="12"/>
      <c r="AK178" s="12" t="s">
        <v>74</v>
      </c>
      <c r="AL178" s="12" t="str">
        <f t="shared" si="39"/>
        <v>ITA</v>
      </c>
      <c r="AM178" s="12" t="s">
        <v>90</v>
      </c>
      <c r="AN178" s="12" t="s">
        <v>220</v>
      </c>
      <c r="AO178" s="12" t="s">
        <v>57</v>
      </c>
      <c r="AP178" s="12" t="s">
        <v>77</v>
      </c>
      <c r="AQ178" s="12" t="s">
        <v>78</v>
      </c>
      <c r="AR178" s="12" t="s">
        <v>79</v>
      </c>
      <c r="AS178" s="12" t="s">
        <v>1348</v>
      </c>
      <c r="AT178" s="12" t="s">
        <v>92</v>
      </c>
      <c r="AU178" s="12" t="s">
        <v>594</v>
      </c>
      <c r="AV178" s="12">
        <v>1</v>
      </c>
      <c r="AW178" s="12">
        <v>1</v>
      </c>
      <c r="AX178" s="12" t="s">
        <v>81</v>
      </c>
      <c r="AY178" s="12" t="s">
        <v>82</v>
      </c>
      <c r="AZ178" s="12" t="s">
        <v>83</v>
      </c>
      <c r="BA178" s="12" t="s">
        <v>84</v>
      </c>
      <c r="BB178" s="12"/>
      <c r="BC178" s="27" t="s">
        <v>1839</v>
      </c>
      <c r="BD178" s="27" t="s">
        <v>1840</v>
      </c>
      <c r="BE178" s="12"/>
    </row>
    <row r="179" spans="1:57" x14ac:dyDescent="0.25">
      <c r="A179" s="12" t="s">
        <v>594</v>
      </c>
      <c r="B179" s="12" t="s">
        <v>57</v>
      </c>
      <c r="C179" s="12">
        <v>1905</v>
      </c>
      <c r="D179" s="12">
        <f t="shared" si="40"/>
        <v>78</v>
      </c>
      <c r="E179" s="23">
        <f t="shared" si="30"/>
        <v>78</v>
      </c>
      <c r="F179" s="12">
        <f t="shared" si="31"/>
        <v>1905</v>
      </c>
      <c r="G179" s="12">
        <f t="shared" si="32"/>
        <v>3</v>
      </c>
      <c r="H179" s="12">
        <f t="shared" si="33"/>
        <v>19</v>
      </c>
      <c r="I179" s="24">
        <f t="shared" si="37"/>
        <v>1905</v>
      </c>
      <c r="J179" s="12" t="s">
        <v>58</v>
      </c>
      <c r="K179" s="12" t="str">
        <f t="shared" si="34"/>
        <v>Apus apus (Linnaeus, 1758)</v>
      </c>
      <c r="L179" s="12" t="str">
        <f t="shared" si="35"/>
        <v>Animalia|Chordata|Aves|Apodiformes|Apodidae|Apus</v>
      </c>
      <c r="M179" s="12" t="s">
        <v>59</v>
      </c>
      <c r="N179" s="12" t="s">
        <v>60</v>
      </c>
      <c r="O179" s="12" t="s">
        <v>61</v>
      </c>
      <c r="P179" s="12" t="s">
        <v>108</v>
      </c>
      <c r="Q179" s="12" t="s">
        <v>598</v>
      </c>
      <c r="R179" s="12" t="s">
        <v>953</v>
      </c>
      <c r="S179" s="12" t="s">
        <v>599</v>
      </c>
      <c r="T179" s="12" t="s">
        <v>66</v>
      </c>
      <c r="U179" s="12" t="s">
        <v>600</v>
      </c>
      <c r="V179" s="12"/>
      <c r="W179" s="12" t="s">
        <v>68</v>
      </c>
      <c r="X179" s="12">
        <v>41.9</v>
      </c>
      <c r="Y179" s="12">
        <v>12.483333</v>
      </c>
      <c r="Z179" s="14" t="s">
        <v>69</v>
      </c>
      <c r="AA179" s="12">
        <v>1156</v>
      </c>
      <c r="AB179" s="12" t="str">
        <f t="shared" si="38"/>
        <v>41.9/12.483333</v>
      </c>
      <c r="AC179" s="13" t="s">
        <v>1473</v>
      </c>
      <c r="AD179" s="25">
        <v>46054</v>
      </c>
      <c r="AE179" s="14" t="s">
        <v>70</v>
      </c>
      <c r="AF179" s="14" t="s">
        <v>71</v>
      </c>
      <c r="AG179" s="14" t="s">
        <v>72</v>
      </c>
      <c r="AH179" s="12" t="str">
        <f t="shared" si="36"/>
        <v>Europa | Italy | Lazio | Rome</v>
      </c>
      <c r="AI179" s="12" t="s">
        <v>73</v>
      </c>
      <c r="AJ179" s="12"/>
      <c r="AK179" s="12" t="s">
        <v>74</v>
      </c>
      <c r="AL179" s="12" t="str">
        <f t="shared" si="39"/>
        <v>ITA</v>
      </c>
      <c r="AM179" s="12" t="s">
        <v>75</v>
      </c>
      <c r="AN179" s="12" t="s">
        <v>153</v>
      </c>
      <c r="AO179" s="12" t="s">
        <v>57</v>
      </c>
      <c r="AP179" s="12" t="s">
        <v>77</v>
      </c>
      <c r="AQ179" s="12" t="s">
        <v>78</v>
      </c>
      <c r="AR179" s="12" t="s">
        <v>79</v>
      </c>
      <c r="AS179" s="12" t="s">
        <v>1349</v>
      </c>
      <c r="AT179" s="12" t="s">
        <v>80</v>
      </c>
      <c r="AU179" s="12" t="s">
        <v>597</v>
      </c>
      <c r="AV179" s="12">
        <v>1</v>
      </c>
      <c r="AW179" s="12">
        <v>1</v>
      </c>
      <c r="AX179" s="12" t="s">
        <v>81</v>
      </c>
      <c r="AY179" s="12" t="s">
        <v>82</v>
      </c>
      <c r="AZ179" s="12" t="s">
        <v>83</v>
      </c>
      <c r="BA179" s="12" t="s">
        <v>84</v>
      </c>
      <c r="BB179" s="12"/>
      <c r="BC179" s="27" t="s">
        <v>1841</v>
      </c>
      <c r="BD179" s="27" t="s">
        <v>1842</v>
      </c>
      <c r="BE179" s="12"/>
    </row>
    <row r="180" spans="1:57" x14ac:dyDescent="0.25">
      <c r="A180" s="12" t="s">
        <v>597</v>
      </c>
      <c r="B180" s="12" t="s">
        <v>57</v>
      </c>
      <c r="C180" s="25">
        <v>21054</v>
      </c>
      <c r="D180" s="12">
        <f t="shared" si="40"/>
        <v>234</v>
      </c>
      <c r="E180" s="23">
        <f t="shared" si="30"/>
        <v>234</v>
      </c>
      <c r="F180" s="12">
        <f t="shared" si="31"/>
        <v>1957</v>
      </c>
      <c r="G180" s="12">
        <f t="shared" si="32"/>
        <v>8</v>
      </c>
      <c r="H180" s="12">
        <f t="shared" si="33"/>
        <v>22</v>
      </c>
      <c r="I180" s="24">
        <f t="shared" si="37"/>
        <v>21054</v>
      </c>
      <c r="J180" s="12" t="s">
        <v>58</v>
      </c>
      <c r="K180" s="12" t="str">
        <f t="shared" si="34"/>
        <v>Upupa epops (Linnaeus, 1758)</v>
      </c>
      <c r="L180" s="12" t="str">
        <f t="shared" si="35"/>
        <v>Animalia|Chordata|Aves|Bucerotiformes|Upupidae|Upupa</v>
      </c>
      <c r="M180" s="12" t="s">
        <v>59</v>
      </c>
      <c r="N180" s="12" t="s">
        <v>60</v>
      </c>
      <c r="O180" s="12" t="s">
        <v>61</v>
      </c>
      <c r="P180" s="12" t="s">
        <v>602</v>
      </c>
      <c r="Q180" s="12" t="s">
        <v>603</v>
      </c>
      <c r="R180" s="12" t="s">
        <v>954</v>
      </c>
      <c r="S180" s="12" t="s">
        <v>604</v>
      </c>
      <c r="T180" s="12" t="s">
        <v>66</v>
      </c>
      <c r="U180" s="12" t="s">
        <v>605</v>
      </c>
      <c r="V180" s="12" t="s">
        <v>1167</v>
      </c>
      <c r="W180" s="12" t="s">
        <v>68</v>
      </c>
      <c r="X180" s="12">
        <v>41.9</v>
      </c>
      <c r="Y180" s="12">
        <v>12.483333</v>
      </c>
      <c r="Z180" s="14" t="s">
        <v>69</v>
      </c>
      <c r="AA180" s="12">
        <v>36625</v>
      </c>
      <c r="AB180" s="12" t="str">
        <f t="shared" si="38"/>
        <v>41.9/12.483333</v>
      </c>
      <c r="AC180" s="13" t="s">
        <v>1473</v>
      </c>
      <c r="AD180" s="25">
        <v>46054</v>
      </c>
      <c r="AE180" s="14" t="s">
        <v>70</v>
      </c>
      <c r="AF180" s="14" t="s">
        <v>71</v>
      </c>
      <c r="AG180" s="14" t="s">
        <v>72</v>
      </c>
      <c r="AH180" s="12" t="str">
        <f t="shared" si="36"/>
        <v>Europa | Italy | Piedmont | Borgo San Dalmazzo</v>
      </c>
      <c r="AI180" s="12" t="s">
        <v>73</v>
      </c>
      <c r="AJ180" s="12"/>
      <c r="AK180" s="12" t="s">
        <v>74</v>
      </c>
      <c r="AL180" s="12" t="str">
        <f t="shared" si="39"/>
        <v>ITA</v>
      </c>
      <c r="AM180" s="12" t="s">
        <v>90</v>
      </c>
      <c r="AN180" s="12" t="s">
        <v>160</v>
      </c>
      <c r="AO180" s="12" t="s">
        <v>57</v>
      </c>
      <c r="AP180" s="12" t="s">
        <v>77</v>
      </c>
      <c r="AQ180" s="12" t="s">
        <v>78</v>
      </c>
      <c r="AR180" s="12" t="s">
        <v>79</v>
      </c>
      <c r="AS180" s="12" t="s">
        <v>1350</v>
      </c>
      <c r="AT180" s="12"/>
      <c r="AU180" s="12" t="s">
        <v>601</v>
      </c>
      <c r="AV180" s="12">
        <v>1</v>
      </c>
      <c r="AW180" s="12">
        <v>1</v>
      </c>
      <c r="AX180" s="12" t="s">
        <v>81</v>
      </c>
      <c r="AY180" s="12" t="s">
        <v>82</v>
      </c>
      <c r="AZ180" s="12" t="s">
        <v>83</v>
      </c>
      <c r="BA180" s="12" t="s">
        <v>84</v>
      </c>
      <c r="BB180" s="12"/>
      <c r="BC180" s="27" t="s">
        <v>1843</v>
      </c>
      <c r="BD180" s="27" t="s">
        <v>1844</v>
      </c>
      <c r="BE180" s="12"/>
    </row>
    <row r="181" spans="1:57" x14ac:dyDescent="0.25">
      <c r="A181" s="12" t="s">
        <v>601</v>
      </c>
      <c r="B181" s="12" t="s">
        <v>57</v>
      </c>
      <c r="C181" s="12">
        <v>1886</v>
      </c>
      <c r="D181" s="12"/>
      <c r="E181" s="23"/>
      <c r="F181" s="12">
        <f t="shared" si="31"/>
        <v>1886</v>
      </c>
      <c r="G181" s="12"/>
      <c r="H181" s="12"/>
      <c r="I181" s="24">
        <f t="shared" si="37"/>
        <v>1886</v>
      </c>
      <c r="J181" s="12" t="s">
        <v>58</v>
      </c>
      <c r="K181" s="12" t="str">
        <f t="shared" si="34"/>
        <v>Upupa epops (Linnaeus, 1758)</v>
      </c>
      <c r="L181" s="12" t="str">
        <f t="shared" si="35"/>
        <v>Animalia|Chordata|Aves|Bucerotiformes|Upupidae|Upupa</v>
      </c>
      <c r="M181" s="12" t="s">
        <v>59</v>
      </c>
      <c r="N181" s="12" t="s">
        <v>60</v>
      </c>
      <c r="O181" s="12" t="s">
        <v>61</v>
      </c>
      <c r="P181" s="12" t="s">
        <v>602</v>
      </c>
      <c r="Q181" s="12" t="s">
        <v>603</v>
      </c>
      <c r="R181" s="12" t="s">
        <v>954</v>
      </c>
      <c r="S181" s="12" t="s">
        <v>604</v>
      </c>
      <c r="T181" s="12" t="s">
        <v>66</v>
      </c>
      <c r="U181" s="12" t="s">
        <v>605</v>
      </c>
      <c r="V181" s="12"/>
      <c r="W181" s="12" t="s">
        <v>68</v>
      </c>
      <c r="X181" s="12">
        <v>41.9</v>
      </c>
      <c r="Y181" s="12">
        <v>12.483333</v>
      </c>
      <c r="Z181" s="14" t="s">
        <v>69</v>
      </c>
      <c r="AA181" s="12">
        <v>6372</v>
      </c>
      <c r="AB181" s="12" t="str">
        <f t="shared" si="38"/>
        <v>41.9/12.483333</v>
      </c>
      <c r="AC181" s="13" t="s">
        <v>1473</v>
      </c>
      <c r="AD181" s="25">
        <v>46054</v>
      </c>
      <c r="AE181" s="14" t="s">
        <v>70</v>
      </c>
      <c r="AF181" s="14" t="s">
        <v>71</v>
      </c>
      <c r="AG181" s="14" t="s">
        <v>72</v>
      </c>
      <c r="AH181" s="12" t="str">
        <f t="shared" si="36"/>
        <v>Europa | Italy | Lazio | Rome</v>
      </c>
      <c r="AI181" s="12" t="s">
        <v>73</v>
      </c>
      <c r="AJ181" s="12"/>
      <c r="AK181" s="12" t="s">
        <v>74</v>
      </c>
      <c r="AL181" s="12" t="str">
        <f t="shared" si="39"/>
        <v>ITA</v>
      </c>
      <c r="AM181" s="12" t="s">
        <v>75</v>
      </c>
      <c r="AN181" s="12" t="s">
        <v>153</v>
      </c>
      <c r="AO181" s="12" t="s">
        <v>57</v>
      </c>
      <c r="AP181" s="12" t="s">
        <v>77</v>
      </c>
      <c r="AQ181" s="12" t="s">
        <v>78</v>
      </c>
      <c r="AR181" s="12" t="s">
        <v>79</v>
      </c>
      <c r="AS181" s="12" t="s">
        <v>1351</v>
      </c>
      <c r="AT181" s="12" t="s">
        <v>80</v>
      </c>
      <c r="AU181" s="12" t="s">
        <v>606</v>
      </c>
      <c r="AV181" s="12">
        <v>1</v>
      </c>
      <c r="AW181" s="12">
        <v>1</v>
      </c>
      <c r="AX181" s="12" t="s">
        <v>81</v>
      </c>
      <c r="AY181" s="12" t="s">
        <v>82</v>
      </c>
      <c r="AZ181" s="12" t="s">
        <v>83</v>
      </c>
      <c r="BA181" s="12" t="s">
        <v>84</v>
      </c>
      <c r="BB181" s="12"/>
      <c r="BC181" s="27" t="s">
        <v>1845</v>
      </c>
      <c r="BD181" s="27" t="s">
        <v>1846</v>
      </c>
      <c r="BE181" s="12"/>
    </row>
    <row r="182" spans="1:57" x14ac:dyDescent="0.25">
      <c r="A182" s="12" t="s">
        <v>606</v>
      </c>
      <c r="B182" s="12" t="s">
        <v>57</v>
      </c>
      <c r="C182" s="25">
        <v>21053</v>
      </c>
      <c r="D182" s="12">
        <f t="shared" si="40"/>
        <v>233</v>
      </c>
      <c r="E182" s="23">
        <f t="shared" si="30"/>
        <v>233</v>
      </c>
      <c r="F182" s="12">
        <f t="shared" si="31"/>
        <v>1957</v>
      </c>
      <c r="G182" s="12">
        <f t="shared" si="32"/>
        <v>8</v>
      </c>
      <c r="H182" s="12">
        <f t="shared" si="33"/>
        <v>21</v>
      </c>
      <c r="I182" s="24">
        <f t="shared" si="37"/>
        <v>21053</v>
      </c>
      <c r="J182" s="12" t="s">
        <v>58</v>
      </c>
      <c r="K182" s="12" t="str">
        <f t="shared" si="34"/>
        <v>Upupa epops (Linnaeus, 1758)</v>
      </c>
      <c r="L182" s="12" t="str">
        <f t="shared" si="35"/>
        <v>Animalia|Chordata|Aves|Bucerotiformes|Upupidae|Upupa</v>
      </c>
      <c r="M182" s="12" t="s">
        <v>59</v>
      </c>
      <c r="N182" s="12" t="s">
        <v>60</v>
      </c>
      <c r="O182" s="12" t="s">
        <v>61</v>
      </c>
      <c r="P182" s="12" t="s">
        <v>602</v>
      </c>
      <c r="Q182" s="12" t="s">
        <v>603</v>
      </c>
      <c r="R182" s="12" t="s">
        <v>954</v>
      </c>
      <c r="S182" s="12" t="s">
        <v>604</v>
      </c>
      <c r="T182" s="12" t="s">
        <v>66</v>
      </c>
      <c r="U182" s="12" t="s">
        <v>605</v>
      </c>
      <c r="V182" s="12" t="s">
        <v>1165</v>
      </c>
      <c r="W182" s="12" t="s">
        <v>68</v>
      </c>
      <c r="X182" s="12">
        <v>41.9</v>
      </c>
      <c r="Y182" s="12">
        <v>12.483333</v>
      </c>
      <c r="Z182" s="14" t="s">
        <v>69</v>
      </c>
      <c r="AA182" s="12">
        <v>36625</v>
      </c>
      <c r="AB182" s="12" t="str">
        <f t="shared" si="38"/>
        <v>41.9/12.483333</v>
      </c>
      <c r="AC182" s="13" t="s">
        <v>1473</v>
      </c>
      <c r="AD182" s="25">
        <v>46054</v>
      </c>
      <c r="AE182" s="14" t="s">
        <v>70</v>
      </c>
      <c r="AF182" s="14" t="s">
        <v>71</v>
      </c>
      <c r="AG182" s="14" t="s">
        <v>72</v>
      </c>
      <c r="AH182" s="12" t="str">
        <f t="shared" si="36"/>
        <v>Europa | Italy | Piedmont | Borgo San Dalmazzo</v>
      </c>
      <c r="AI182" s="12" t="s">
        <v>73</v>
      </c>
      <c r="AJ182" s="12"/>
      <c r="AK182" s="12" t="s">
        <v>74</v>
      </c>
      <c r="AL182" s="12" t="str">
        <f t="shared" si="39"/>
        <v>ITA</v>
      </c>
      <c r="AM182" s="12" t="s">
        <v>90</v>
      </c>
      <c r="AN182" s="12" t="s">
        <v>160</v>
      </c>
      <c r="AO182" s="12" t="s">
        <v>57</v>
      </c>
      <c r="AP182" s="12" t="s">
        <v>77</v>
      </c>
      <c r="AQ182" s="12" t="s">
        <v>78</v>
      </c>
      <c r="AR182" s="12" t="s">
        <v>79</v>
      </c>
      <c r="AS182" s="12" t="s">
        <v>1352</v>
      </c>
      <c r="AT182" s="12" t="s">
        <v>80</v>
      </c>
      <c r="AU182" s="12" t="s">
        <v>607</v>
      </c>
      <c r="AV182" s="12">
        <v>2</v>
      </c>
      <c r="AW182" s="12">
        <v>2</v>
      </c>
      <c r="AX182" s="12" t="s">
        <v>81</v>
      </c>
      <c r="AY182" s="12" t="s">
        <v>82</v>
      </c>
      <c r="AZ182" s="12" t="s">
        <v>83</v>
      </c>
      <c r="BA182" s="12" t="s">
        <v>93</v>
      </c>
      <c r="BB182" s="12"/>
      <c r="BC182" s="27" t="s">
        <v>1847</v>
      </c>
      <c r="BD182" s="27" t="s">
        <v>1848</v>
      </c>
      <c r="BE182" s="12"/>
    </row>
    <row r="183" spans="1:57" x14ac:dyDescent="0.25">
      <c r="A183" s="12" t="s">
        <v>607</v>
      </c>
      <c r="B183" s="12" t="s">
        <v>57</v>
      </c>
      <c r="C183" s="12">
        <v>1901</v>
      </c>
      <c r="D183" s="12"/>
      <c r="E183" s="23"/>
      <c r="F183" s="12">
        <f t="shared" si="31"/>
        <v>1901</v>
      </c>
      <c r="G183" s="12"/>
      <c r="H183" s="12"/>
      <c r="I183" s="24">
        <f t="shared" si="37"/>
        <v>1901</v>
      </c>
      <c r="J183" s="12" t="s">
        <v>58</v>
      </c>
      <c r="K183" s="12" t="str">
        <f t="shared" si="34"/>
        <v>Coracias garrulus (Linnaeus, 1758)</v>
      </c>
      <c r="L183" s="12" t="str">
        <f t="shared" si="35"/>
        <v>Animalia|Chordata|Aves|Coraciiformes|Coraciidae|Coracias</v>
      </c>
      <c r="M183" s="12" t="s">
        <v>59</v>
      </c>
      <c r="N183" s="12" t="s">
        <v>60</v>
      </c>
      <c r="O183" s="12" t="s">
        <v>61</v>
      </c>
      <c r="P183" s="12" t="s">
        <v>609</v>
      </c>
      <c r="Q183" s="12" t="s">
        <v>610</v>
      </c>
      <c r="R183" s="12" t="s">
        <v>955</v>
      </c>
      <c r="S183" s="12" t="s">
        <v>611</v>
      </c>
      <c r="T183" s="12" t="s">
        <v>66</v>
      </c>
      <c r="U183" s="12" t="s">
        <v>612</v>
      </c>
      <c r="V183" s="12"/>
      <c r="W183" s="12" t="s">
        <v>68</v>
      </c>
      <c r="X183" s="12">
        <v>44.33014</v>
      </c>
      <c r="Y183" s="12">
        <v>7.4859239999999998</v>
      </c>
      <c r="Z183" s="14" t="s">
        <v>69</v>
      </c>
      <c r="AA183" s="12">
        <v>1929</v>
      </c>
      <c r="AB183" s="12" t="str">
        <f t="shared" si="38"/>
        <v>44.33014/7.485924</v>
      </c>
      <c r="AC183" s="13" t="s">
        <v>1473</v>
      </c>
      <c r="AD183" s="25">
        <v>46054</v>
      </c>
      <c r="AE183" s="14" t="s">
        <v>70</v>
      </c>
      <c r="AF183" s="14" t="s">
        <v>71</v>
      </c>
      <c r="AG183" s="14" t="s">
        <v>72</v>
      </c>
      <c r="AH183" s="12" t="str">
        <f t="shared" si="36"/>
        <v>Europa | Italy | Piedmont | Borgo San Dalmazzo</v>
      </c>
      <c r="AI183" s="12" t="s">
        <v>73</v>
      </c>
      <c r="AJ183" s="12"/>
      <c r="AK183" s="12" t="s">
        <v>74</v>
      </c>
      <c r="AL183" s="12" t="str">
        <f t="shared" si="39"/>
        <v>ITA</v>
      </c>
      <c r="AM183" s="12" t="s">
        <v>90</v>
      </c>
      <c r="AN183" s="12" t="s">
        <v>160</v>
      </c>
      <c r="AO183" s="12" t="s">
        <v>57</v>
      </c>
      <c r="AP183" s="12" t="s">
        <v>77</v>
      </c>
      <c r="AQ183" s="12" t="s">
        <v>78</v>
      </c>
      <c r="AR183" s="12" t="s">
        <v>79</v>
      </c>
      <c r="AS183" s="12" t="s">
        <v>1353</v>
      </c>
      <c r="AT183" s="12" t="s">
        <v>80</v>
      </c>
      <c r="AU183" s="12" t="s">
        <v>608</v>
      </c>
      <c r="AV183" s="12">
        <v>1</v>
      </c>
      <c r="AW183" s="12">
        <v>1</v>
      </c>
      <c r="AX183" s="12" t="s">
        <v>81</v>
      </c>
      <c r="AY183" s="12" t="s">
        <v>82</v>
      </c>
      <c r="AZ183" s="12" t="s">
        <v>83</v>
      </c>
      <c r="BA183" s="12" t="s">
        <v>84</v>
      </c>
      <c r="BB183" s="12"/>
      <c r="BC183" s="27" t="s">
        <v>1849</v>
      </c>
      <c r="BD183" s="27" t="s">
        <v>1850</v>
      </c>
      <c r="BE183" s="12"/>
    </row>
    <row r="184" spans="1:57" x14ac:dyDescent="0.25">
      <c r="A184" s="12" t="s">
        <v>608</v>
      </c>
      <c r="B184" s="12" t="s">
        <v>57</v>
      </c>
      <c r="C184" s="12">
        <v>1946</v>
      </c>
      <c r="D184" s="12"/>
      <c r="E184" s="23"/>
      <c r="F184" s="12">
        <f t="shared" si="31"/>
        <v>1946</v>
      </c>
      <c r="G184" s="12"/>
      <c r="H184" s="12"/>
      <c r="I184" s="24">
        <f t="shared" si="37"/>
        <v>1946</v>
      </c>
      <c r="J184" s="12" t="s">
        <v>58</v>
      </c>
      <c r="K184" s="12" t="str">
        <f t="shared" si="34"/>
        <v>Upupa epops (Linnaeus, 1758)</v>
      </c>
      <c r="L184" s="12" t="str">
        <f t="shared" si="35"/>
        <v>Animalia|Chordata|Aves|Bucerotiformes|Upupidae|Upupa</v>
      </c>
      <c r="M184" s="12" t="s">
        <v>59</v>
      </c>
      <c r="N184" s="12" t="s">
        <v>60</v>
      </c>
      <c r="O184" s="12" t="s">
        <v>61</v>
      </c>
      <c r="P184" s="12" t="s">
        <v>602</v>
      </c>
      <c r="Q184" s="12" t="s">
        <v>603</v>
      </c>
      <c r="R184" s="12" t="s">
        <v>954</v>
      </c>
      <c r="S184" s="12" t="s">
        <v>604</v>
      </c>
      <c r="T184" s="12" t="s">
        <v>66</v>
      </c>
      <c r="U184" s="12" t="s">
        <v>605</v>
      </c>
      <c r="V184" s="12"/>
      <c r="W184" s="12" t="s">
        <v>68</v>
      </c>
      <c r="X184" s="12">
        <v>41.9</v>
      </c>
      <c r="Y184" s="12">
        <v>12.483333</v>
      </c>
      <c r="Z184" s="14" t="s">
        <v>69</v>
      </c>
      <c r="AA184" s="12">
        <v>6372</v>
      </c>
      <c r="AB184" s="12" t="str">
        <f t="shared" si="38"/>
        <v>41.9/12.483333</v>
      </c>
      <c r="AC184" s="13" t="s">
        <v>1473</v>
      </c>
      <c r="AD184" s="25">
        <v>46054</v>
      </c>
      <c r="AE184" s="14" t="s">
        <v>70</v>
      </c>
      <c r="AF184" s="14" t="s">
        <v>71</v>
      </c>
      <c r="AG184" s="14" t="s">
        <v>72</v>
      </c>
      <c r="AH184" s="12" t="str">
        <f t="shared" si="36"/>
        <v>Europa | Italy | Lazio | Rome</v>
      </c>
      <c r="AI184" s="12" t="s">
        <v>73</v>
      </c>
      <c r="AJ184" s="12"/>
      <c r="AK184" s="12" t="s">
        <v>74</v>
      </c>
      <c r="AL184" s="12" t="str">
        <f t="shared" si="39"/>
        <v>ITA</v>
      </c>
      <c r="AM184" s="12" t="s">
        <v>75</v>
      </c>
      <c r="AN184" s="12" t="s">
        <v>153</v>
      </c>
      <c r="AO184" s="12" t="s">
        <v>57</v>
      </c>
      <c r="AP184" s="12" t="s">
        <v>77</v>
      </c>
      <c r="AQ184" s="12" t="s">
        <v>78</v>
      </c>
      <c r="AR184" s="12" t="s">
        <v>79</v>
      </c>
      <c r="AS184" s="12" t="s">
        <v>1354</v>
      </c>
      <c r="AT184" s="12"/>
      <c r="AU184" s="12" t="s">
        <v>613</v>
      </c>
      <c r="AV184" s="12">
        <v>1</v>
      </c>
      <c r="AW184" s="12">
        <v>1</v>
      </c>
      <c r="AX184" s="12" t="s">
        <v>81</v>
      </c>
      <c r="AY184" s="12" t="s">
        <v>82</v>
      </c>
      <c r="AZ184" s="12" t="s">
        <v>83</v>
      </c>
      <c r="BA184" s="12" t="s">
        <v>84</v>
      </c>
      <c r="BB184" s="12"/>
      <c r="BC184" s="27" t="s">
        <v>1851</v>
      </c>
      <c r="BD184" s="27" t="s">
        <v>1852</v>
      </c>
      <c r="BE184" s="12"/>
    </row>
    <row r="185" spans="1:57" x14ac:dyDescent="0.25">
      <c r="A185" s="12" t="s">
        <v>613</v>
      </c>
      <c r="B185" s="12" t="s">
        <v>57</v>
      </c>
      <c r="C185" s="12">
        <v>1892</v>
      </c>
      <c r="D185" s="12"/>
      <c r="E185" s="23"/>
      <c r="F185" s="12">
        <f t="shared" si="31"/>
        <v>1892</v>
      </c>
      <c r="G185" s="12"/>
      <c r="H185" s="12"/>
      <c r="I185" s="24">
        <f t="shared" si="37"/>
        <v>1892</v>
      </c>
      <c r="J185" s="12" t="s">
        <v>58</v>
      </c>
      <c r="K185" s="12" t="str">
        <f t="shared" si="34"/>
        <v>Merops apiaster (Linnaeus, 1758)</v>
      </c>
      <c r="L185" s="12" t="str">
        <f t="shared" si="35"/>
        <v>Animalia|Chordata|Aves|Coraciiformes|Meropidae|Merops</v>
      </c>
      <c r="M185" s="12" t="s">
        <v>59</v>
      </c>
      <c r="N185" s="12" t="s">
        <v>60</v>
      </c>
      <c r="O185" s="12" t="s">
        <v>61</v>
      </c>
      <c r="P185" s="12" t="s">
        <v>609</v>
      </c>
      <c r="Q185" s="12" t="s">
        <v>615</v>
      </c>
      <c r="R185" s="12" t="s">
        <v>956</v>
      </c>
      <c r="S185" s="12" t="s">
        <v>616</v>
      </c>
      <c r="T185" s="12" t="s">
        <v>66</v>
      </c>
      <c r="U185" s="12" t="s">
        <v>617</v>
      </c>
      <c r="V185" s="12"/>
      <c r="W185" s="12" t="s">
        <v>68</v>
      </c>
      <c r="X185" s="12">
        <v>41.9</v>
      </c>
      <c r="Y185" s="12">
        <v>12.483333</v>
      </c>
      <c r="Z185" s="14" t="s">
        <v>69</v>
      </c>
      <c r="AA185" s="12">
        <v>36625</v>
      </c>
      <c r="AB185" s="12" t="str">
        <f t="shared" si="38"/>
        <v>41.9/12.483333</v>
      </c>
      <c r="AC185" s="13" t="s">
        <v>1473</v>
      </c>
      <c r="AD185" s="25">
        <v>46054</v>
      </c>
      <c r="AE185" s="14" t="s">
        <v>70</v>
      </c>
      <c r="AF185" s="14" t="s">
        <v>71</v>
      </c>
      <c r="AG185" s="14" t="s">
        <v>72</v>
      </c>
      <c r="AH185" s="12" t="str">
        <f t="shared" si="36"/>
        <v>Europa | Italy | Lazio | Ager Romanus</v>
      </c>
      <c r="AI185" s="12" t="s">
        <v>73</v>
      </c>
      <c r="AJ185" s="12"/>
      <c r="AK185" s="12" t="s">
        <v>74</v>
      </c>
      <c r="AL185" s="12" t="str">
        <f t="shared" si="39"/>
        <v>ITA</v>
      </c>
      <c r="AM185" s="12" t="s">
        <v>75</v>
      </c>
      <c r="AN185" s="12" t="s">
        <v>166</v>
      </c>
      <c r="AO185" s="12" t="s">
        <v>57</v>
      </c>
      <c r="AP185" s="12" t="s">
        <v>77</v>
      </c>
      <c r="AQ185" s="12" t="s">
        <v>78</v>
      </c>
      <c r="AR185" s="12" t="s">
        <v>79</v>
      </c>
      <c r="AS185" s="12" t="s">
        <v>1355</v>
      </c>
      <c r="AT185" s="12"/>
      <c r="AU185" s="12" t="s">
        <v>614</v>
      </c>
      <c r="AV185" s="12">
        <v>1</v>
      </c>
      <c r="AW185" s="12">
        <v>1</v>
      </c>
      <c r="AX185" s="12" t="s">
        <v>81</v>
      </c>
      <c r="AY185" s="12" t="s">
        <v>82</v>
      </c>
      <c r="AZ185" s="12" t="s">
        <v>83</v>
      </c>
      <c r="BA185" s="12" t="s">
        <v>84</v>
      </c>
      <c r="BB185" s="12">
        <v>4744</v>
      </c>
      <c r="BC185" s="27" t="s">
        <v>1853</v>
      </c>
      <c r="BD185" s="27" t="s">
        <v>1854</v>
      </c>
      <c r="BE185" s="12"/>
    </row>
    <row r="186" spans="1:57" x14ac:dyDescent="0.25">
      <c r="A186" s="12" t="s">
        <v>614</v>
      </c>
      <c r="B186" s="12" t="s">
        <v>57</v>
      </c>
      <c r="C186" s="12">
        <v>1960</v>
      </c>
      <c r="D186" s="12"/>
      <c r="E186" s="23"/>
      <c r="F186" s="12">
        <f t="shared" si="31"/>
        <v>1960</v>
      </c>
      <c r="G186" s="12"/>
      <c r="H186" s="12"/>
      <c r="I186" s="24">
        <f t="shared" si="37"/>
        <v>1960</v>
      </c>
      <c r="J186" s="12" t="s">
        <v>58</v>
      </c>
      <c r="K186" s="12" t="str">
        <f t="shared" si="34"/>
        <v>Alcedo atthis (Linnaeus, 1758)</v>
      </c>
      <c r="L186" s="12" t="str">
        <f t="shared" si="35"/>
        <v>Animalia|Chordata|Aves|Coraciiformes|Alcedinidae|Alcedo</v>
      </c>
      <c r="M186" s="12" t="s">
        <v>59</v>
      </c>
      <c r="N186" s="12" t="s">
        <v>60</v>
      </c>
      <c r="O186" s="12" t="s">
        <v>61</v>
      </c>
      <c r="P186" s="12" t="s">
        <v>609</v>
      </c>
      <c r="Q186" s="12" t="s">
        <v>619</v>
      </c>
      <c r="R186" s="12" t="s">
        <v>957</v>
      </c>
      <c r="S186" s="12" t="s">
        <v>620</v>
      </c>
      <c r="T186" s="12" t="s">
        <v>66</v>
      </c>
      <c r="U186" s="12" t="s">
        <v>621</v>
      </c>
      <c r="V186" s="12" t="s">
        <v>1167</v>
      </c>
      <c r="W186" s="12" t="s">
        <v>68</v>
      </c>
      <c r="X186" s="12">
        <v>41.9</v>
      </c>
      <c r="Y186" s="12">
        <v>12.483333</v>
      </c>
      <c r="Z186" s="14" t="s">
        <v>69</v>
      </c>
      <c r="AA186" s="12">
        <v>28880</v>
      </c>
      <c r="AB186" s="12" t="str">
        <f t="shared" si="38"/>
        <v>41.9/12.483333</v>
      </c>
      <c r="AC186" s="13" t="s">
        <v>1473</v>
      </c>
      <c r="AD186" s="25">
        <v>46054</v>
      </c>
      <c r="AE186" s="14" t="s">
        <v>70</v>
      </c>
      <c r="AF186" s="14" t="s">
        <v>71</v>
      </c>
      <c r="AG186" s="14" t="s">
        <v>72</v>
      </c>
      <c r="AH186" s="12" t="str">
        <f t="shared" si="36"/>
        <v>Europa | Italy | Lazio | Rome</v>
      </c>
      <c r="AI186" s="12" t="s">
        <v>73</v>
      </c>
      <c r="AJ186" s="12"/>
      <c r="AK186" s="12" t="s">
        <v>74</v>
      </c>
      <c r="AL186" s="12" t="str">
        <f t="shared" si="39"/>
        <v>ITA</v>
      </c>
      <c r="AM186" s="12" t="s">
        <v>75</v>
      </c>
      <c r="AN186" s="12" t="s">
        <v>153</v>
      </c>
      <c r="AO186" s="12" t="s">
        <v>57</v>
      </c>
      <c r="AP186" s="12" t="s">
        <v>77</v>
      </c>
      <c r="AQ186" s="12" t="s">
        <v>78</v>
      </c>
      <c r="AR186" s="12" t="s">
        <v>79</v>
      </c>
      <c r="AS186" s="12" t="s">
        <v>1356</v>
      </c>
      <c r="AT186" s="12"/>
      <c r="AU186" s="12" t="s">
        <v>618</v>
      </c>
      <c r="AV186" s="12">
        <v>1</v>
      </c>
      <c r="AW186" s="12">
        <v>1</v>
      </c>
      <c r="AX186" s="12" t="s">
        <v>81</v>
      </c>
      <c r="AY186" s="12" t="s">
        <v>82</v>
      </c>
      <c r="AZ186" s="12" t="s">
        <v>83</v>
      </c>
      <c r="BA186" s="12" t="s">
        <v>84</v>
      </c>
      <c r="BB186" s="12"/>
      <c r="BC186" s="27" t="s">
        <v>1855</v>
      </c>
      <c r="BD186" s="27" t="s">
        <v>1856</v>
      </c>
      <c r="BE186" s="12"/>
    </row>
    <row r="187" spans="1:57" x14ac:dyDescent="0.25">
      <c r="A187" s="12" t="s">
        <v>618</v>
      </c>
      <c r="B187" s="12" t="s">
        <v>57</v>
      </c>
      <c r="C187" s="25">
        <v>21444</v>
      </c>
      <c r="D187" s="12">
        <f t="shared" si="40"/>
        <v>259</v>
      </c>
      <c r="E187" s="23">
        <f t="shared" si="30"/>
        <v>259</v>
      </c>
      <c r="F187" s="12">
        <f t="shared" si="31"/>
        <v>1958</v>
      </c>
      <c r="G187" s="12">
        <f t="shared" si="32"/>
        <v>9</v>
      </c>
      <c r="H187" s="12">
        <f t="shared" si="33"/>
        <v>16</v>
      </c>
      <c r="I187" s="24">
        <f t="shared" si="37"/>
        <v>21444</v>
      </c>
      <c r="J187" s="12" t="s">
        <v>58</v>
      </c>
      <c r="K187" s="12" t="str">
        <f t="shared" si="34"/>
        <v>Alcedo atthis (Linnaeus, 1758)</v>
      </c>
      <c r="L187" s="12" t="str">
        <f t="shared" si="35"/>
        <v>Animalia|Chordata|Aves|Coraciiformes|Alcedinidae|Alcedo</v>
      </c>
      <c r="M187" s="12" t="s">
        <v>59</v>
      </c>
      <c r="N187" s="12" t="s">
        <v>60</v>
      </c>
      <c r="O187" s="12" t="s">
        <v>61</v>
      </c>
      <c r="P187" s="12" t="s">
        <v>609</v>
      </c>
      <c r="Q187" s="12" t="s">
        <v>619</v>
      </c>
      <c r="R187" s="12" t="s">
        <v>957</v>
      </c>
      <c r="S187" s="12" t="s">
        <v>620</v>
      </c>
      <c r="T187" s="12" t="s">
        <v>66</v>
      </c>
      <c r="U187" s="12" t="s">
        <v>621</v>
      </c>
      <c r="V187" s="12" t="s">
        <v>1165</v>
      </c>
      <c r="W187" s="12" t="s">
        <v>68</v>
      </c>
      <c r="X187" s="12">
        <v>45.388095</v>
      </c>
      <c r="Y187" s="12">
        <v>11.794121000000001</v>
      </c>
      <c r="Z187" s="14" t="s">
        <v>69</v>
      </c>
      <c r="AA187" s="12">
        <v>1509</v>
      </c>
      <c r="AB187" s="12" t="str">
        <f t="shared" si="38"/>
        <v>45.388095/11.794121</v>
      </c>
      <c r="AC187" s="13" t="s">
        <v>1473</v>
      </c>
      <c r="AD187" s="25">
        <v>46054</v>
      </c>
      <c r="AE187" s="14" t="s">
        <v>70</v>
      </c>
      <c r="AF187" s="14" t="s">
        <v>71</v>
      </c>
      <c r="AG187" s="14" t="s">
        <v>72</v>
      </c>
      <c r="AH187" s="12" t="str">
        <f t="shared" si="36"/>
        <v>Europa | Italy | Piedmont | Cuneo</v>
      </c>
      <c r="AI187" s="12" t="s">
        <v>73</v>
      </c>
      <c r="AJ187" s="12"/>
      <c r="AK187" s="12" t="s">
        <v>74</v>
      </c>
      <c r="AL187" s="12" t="str">
        <f t="shared" si="39"/>
        <v>ITA</v>
      </c>
      <c r="AM187" s="12" t="s">
        <v>90</v>
      </c>
      <c r="AN187" s="12" t="s">
        <v>206</v>
      </c>
      <c r="AO187" s="12" t="s">
        <v>57</v>
      </c>
      <c r="AP187" s="12" t="s">
        <v>77</v>
      </c>
      <c r="AQ187" s="12" t="s">
        <v>78</v>
      </c>
      <c r="AR187" s="12" t="s">
        <v>79</v>
      </c>
      <c r="AS187" s="12" t="s">
        <v>1357</v>
      </c>
      <c r="AT187" s="12" t="s">
        <v>92</v>
      </c>
      <c r="AU187" s="12" t="s">
        <v>622</v>
      </c>
      <c r="AV187" s="12">
        <v>1</v>
      </c>
      <c r="AW187" s="12">
        <v>1</v>
      </c>
      <c r="AX187" s="12" t="s">
        <v>81</v>
      </c>
      <c r="AY187" s="12" t="s">
        <v>82</v>
      </c>
      <c r="AZ187" s="12" t="s">
        <v>83</v>
      </c>
      <c r="BA187" s="12" t="s">
        <v>84</v>
      </c>
      <c r="BB187" s="12"/>
      <c r="BC187" s="27" t="s">
        <v>1857</v>
      </c>
      <c r="BD187" s="27" t="s">
        <v>1858</v>
      </c>
      <c r="BE187" s="12"/>
    </row>
    <row r="188" spans="1:57" x14ac:dyDescent="0.25">
      <c r="A188" s="12" t="s">
        <v>622</v>
      </c>
      <c r="B188" s="12" t="s">
        <v>57</v>
      </c>
      <c r="C188" s="25">
        <v>21806</v>
      </c>
      <c r="D188" s="12">
        <f t="shared" si="40"/>
        <v>256</v>
      </c>
      <c r="E188" s="23">
        <f t="shared" si="30"/>
        <v>256</v>
      </c>
      <c r="F188" s="12">
        <f t="shared" si="31"/>
        <v>1959</v>
      </c>
      <c r="G188" s="12">
        <f t="shared" si="32"/>
        <v>9</v>
      </c>
      <c r="H188" s="12">
        <f t="shared" si="33"/>
        <v>13</v>
      </c>
      <c r="I188" s="24">
        <f t="shared" si="37"/>
        <v>21806</v>
      </c>
      <c r="J188" s="12" t="s">
        <v>58</v>
      </c>
      <c r="K188" s="12" t="str">
        <f t="shared" si="34"/>
        <v>Phoenicurus phoenicurus (Linnaeus, 1758)</v>
      </c>
      <c r="L188" s="12" t="str">
        <f t="shared" si="35"/>
        <v>Animalia|Chordata|Aves|Passeriformes|Muscicapidae|Phoenicurus</v>
      </c>
      <c r="M188" s="12" t="s">
        <v>59</v>
      </c>
      <c r="N188" s="12" t="s">
        <v>60</v>
      </c>
      <c r="O188" s="12" t="s">
        <v>61</v>
      </c>
      <c r="P188" s="12" t="s">
        <v>62</v>
      </c>
      <c r="Q188" s="12" t="s">
        <v>177</v>
      </c>
      <c r="R188" s="12" t="s">
        <v>958</v>
      </c>
      <c r="S188" s="12" t="s">
        <v>624</v>
      </c>
      <c r="T188" s="12" t="s">
        <v>66</v>
      </c>
      <c r="U188" s="12" t="s">
        <v>625</v>
      </c>
      <c r="V188" s="12" t="s">
        <v>1165</v>
      </c>
      <c r="W188" s="12" t="s">
        <v>68</v>
      </c>
      <c r="X188" s="12">
        <v>44.33014</v>
      </c>
      <c r="Y188" s="12">
        <v>7.4859239999999998</v>
      </c>
      <c r="Z188" s="14" t="s">
        <v>69</v>
      </c>
      <c r="AA188" s="12">
        <v>1929</v>
      </c>
      <c r="AB188" s="12" t="str">
        <f t="shared" si="38"/>
        <v>44.33014/7.485924</v>
      </c>
      <c r="AC188" s="13" t="s">
        <v>1473</v>
      </c>
      <c r="AD188" s="25">
        <v>46054</v>
      </c>
      <c r="AE188" s="14" t="s">
        <v>70</v>
      </c>
      <c r="AF188" s="14" t="s">
        <v>71</v>
      </c>
      <c r="AG188" s="14" t="s">
        <v>72</v>
      </c>
      <c r="AH188" s="12" t="str">
        <f t="shared" si="36"/>
        <v>Europa | Italy | Piedmont | Borgo San Dalmazzo</v>
      </c>
      <c r="AI188" s="12" t="s">
        <v>73</v>
      </c>
      <c r="AJ188" s="12"/>
      <c r="AK188" s="12" t="s">
        <v>74</v>
      </c>
      <c r="AL188" s="12" t="str">
        <f t="shared" si="39"/>
        <v>ITA</v>
      </c>
      <c r="AM188" s="12" t="s">
        <v>90</v>
      </c>
      <c r="AN188" s="12" t="s">
        <v>160</v>
      </c>
      <c r="AO188" s="12" t="s">
        <v>57</v>
      </c>
      <c r="AP188" s="12" t="s">
        <v>77</v>
      </c>
      <c r="AQ188" s="12" t="s">
        <v>78</v>
      </c>
      <c r="AR188" s="12" t="s">
        <v>79</v>
      </c>
      <c r="AS188" s="12" t="s">
        <v>1358</v>
      </c>
      <c r="AT188" s="12" t="s">
        <v>92</v>
      </c>
      <c r="AU188" s="12" t="s">
        <v>623</v>
      </c>
      <c r="AV188" s="12">
        <v>1</v>
      </c>
      <c r="AW188" s="12">
        <v>1</v>
      </c>
      <c r="AX188" s="12" t="s">
        <v>81</v>
      </c>
      <c r="AY188" s="12" t="s">
        <v>82</v>
      </c>
      <c r="AZ188" s="12" t="s">
        <v>83</v>
      </c>
      <c r="BA188" s="12" t="s">
        <v>93</v>
      </c>
      <c r="BB188" s="12"/>
      <c r="BC188" s="27" t="s">
        <v>1859</v>
      </c>
      <c r="BD188" s="27" t="s">
        <v>1860</v>
      </c>
      <c r="BE188" s="12"/>
    </row>
    <row r="189" spans="1:57" x14ac:dyDescent="0.25">
      <c r="A189" s="12" t="s">
        <v>623</v>
      </c>
      <c r="B189" s="12" t="s">
        <v>57</v>
      </c>
      <c r="C189" s="25">
        <v>21946</v>
      </c>
      <c r="D189" s="12">
        <f t="shared" si="40"/>
        <v>31</v>
      </c>
      <c r="E189" s="23">
        <f t="shared" si="30"/>
        <v>31</v>
      </c>
      <c r="F189" s="12">
        <f t="shared" si="31"/>
        <v>1960</v>
      </c>
      <c r="G189" s="12">
        <f t="shared" si="32"/>
        <v>1</v>
      </c>
      <c r="H189" s="12">
        <f t="shared" si="33"/>
        <v>31</v>
      </c>
      <c r="I189" s="24">
        <f t="shared" si="37"/>
        <v>21946</v>
      </c>
      <c r="J189" s="12" t="s">
        <v>58</v>
      </c>
      <c r="K189" s="12" t="str">
        <f t="shared" si="34"/>
        <v>Erithacus rubecula (Linnaeus, 1758)</v>
      </c>
      <c r="L189" s="12" t="str">
        <f t="shared" si="35"/>
        <v>Animalia|Chordata|Aves|Passeriformes|Muscicapidae|Erithacus</v>
      </c>
      <c r="M189" s="12" t="s">
        <v>59</v>
      </c>
      <c r="N189" s="12" t="s">
        <v>60</v>
      </c>
      <c r="O189" s="12" t="s">
        <v>61</v>
      </c>
      <c r="P189" s="12" t="s">
        <v>62</v>
      </c>
      <c r="Q189" s="12" t="s">
        <v>177</v>
      </c>
      <c r="R189" s="12" t="s">
        <v>887</v>
      </c>
      <c r="S189" s="12" t="s">
        <v>178</v>
      </c>
      <c r="T189" s="12" t="s">
        <v>66</v>
      </c>
      <c r="U189" s="12" t="s">
        <v>179</v>
      </c>
      <c r="V189" s="12" t="s">
        <v>1165</v>
      </c>
      <c r="W189" s="12" t="s">
        <v>68</v>
      </c>
      <c r="X189" s="12">
        <v>41.986651000000002</v>
      </c>
      <c r="Y189" s="12">
        <v>12.934449000000001</v>
      </c>
      <c r="Z189" s="14" t="s">
        <v>69</v>
      </c>
      <c r="AA189" s="12">
        <v>898</v>
      </c>
      <c r="AB189" s="12" t="str">
        <f t="shared" si="38"/>
        <v>41.986651/12.934449</v>
      </c>
      <c r="AC189" s="13" t="s">
        <v>1473</v>
      </c>
      <c r="AD189" s="25">
        <v>46054</v>
      </c>
      <c r="AE189" s="14" t="s">
        <v>70</v>
      </c>
      <c r="AF189" s="14" t="s">
        <v>71</v>
      </c>
      <c r="AG189" s="14" t="s">
        <v>72</v>
      </c>
      <c r="AH189" s="12" t="str">
        <f t="shared" si="36"/>
        <v>Europa | Italy | Lazio | Sambuci</v>
      </c>
      <c r="AI189" s="12" t="s">
        <v>73</v>
      </c>
      <c r="AJ189" s="12"/>
      <c r="AK189" s="12" t="s">
        <v>74</v>
      </c>
      <c r="AL189" s="12" t="str">
        <f t="shared" si="39"/>
        <v>ITA</v>
      </c>
      <c r="AM189" s="12" t="s">
        <v>75</v>
      </c>
      <c r="AN189" s="12" t="s">
        <v>627</v>
      </c>
      <c r="AO189" s="12" t="s">
        <v>57</v>
      </c>
      <c r="AP189" s="12" t="s">
        <v>77</v>
      </c>
      <c r="AQ189" s="12" t="s">
        <v>78</v>
      </c>
      <c r="AR189" s="12" t="s">
        <v>79</v>
      </c>
      <c r="AS189" s="12" t="s">
        <v>1359</v>
      </c>
      <c r="AT189" s="12" t="s">
        <v>80</v>
      </c>
      <c r="AU189" s="12" t="s">
        <v>626</v>
      </c>
      <c r="AV189" s="12">
        <v>1</v>
      </c>
      <c r="AW189" s="12">
        <v>1</v>
      </c>
      <c r="AX189" s="12" t="s">
        <v>81</v>
      </c>
      <c r="AY189" s="12" t="s">
        <v>82</v>
      </c>
      <c r="AZ189" s="12" t="s">
        <v>83</v>
      </c>
      <c r="BA189" s="12" t="s">
        <v>84</v>
      </c>
      <c r="BB189" s="12"/>
      <c r="BC189" s="27" t="s">
        <v>1861</v>
      </c>
      <c r="BD189" s="27" t="s">
        <v>1862</v>
      </c>
      <c r="BE189" s="12"/>
    </row>
    <row r="190" spans="1:57" x14ac:dyDescent="0.25">
      <c r="A190" s="12" t="s">
        <v>626</v>
      </c>
      <c r="B190" s="12" t="s">
        <v>57</v>
      </c>
      <c r="C190" s="25">
        <v>21293</v>
      </c>
      <c r="D190" s="12">
        <f t="shared" si="40"/>
        <v>108</v>
      </c>
      <c r="E190" s="23">
        <f t="shared" si="30"/>
        <v>108</v>
      </c>
      <c r="F190" s="12">
        <f t="shared" si="31"/>
        <v>1958</v>
      </c>
      <c r="G190" s="12">
        <f t="shared" si="32"/>
        <v>4</v>
      </c>
      <c r="H190" s="12">
        <f t="shared" si="33"/>
        <v>18</v>
      </c>
      <c r="I190" s="24">
        <f t="shared" si="37"/>
        <v>21293</v>
      </c>
      <c r="J190" s="12" t="s">
        <v>629</v>
      </c>
      <c r="K190" s="12" t="str">
        <f t="shared" si="34"/>
        <v>Phoenicurus ochruros (Gmelin, 1774)</v>
      </c>
      <c r="L190" s="12" t="str">
        <f t="shared" si="35"/>
        <v>Animalia|Chordata|Aves|Passeriformes|Muscicapidae|Phoenicurus</v>
      </c>
      <c r="M190" s="12" t="s">
        <v>59</v>
      </c>
      <c r="N190" s="12" t="s">
        <v>60</v>
      </c>
      <c r="O190" s="12" t="s">
        <v>61</v>
      </c>
      <c r="P190" s="12" t="s">
        <v>62</v>
      </c>
      <c r="Q190" s="12" t="s">
        <v>177</v>
      </c>
      <c r="R190" s="12" t="s">
        <v>958</v>
      </c>
      <c r="S190" s="12" t="s">
        <v>630</v>
      </c>
      <c r="T190" s="12" t="s">
        <v>66</v>
      </c>
      <c r="U190" s="12" t="s">
        <v>631</v>
      </c>
      <c r="V190" s="12" t="s">
        <v>1165</v>
      </c>
      <c r="W190" s="12" t="s">
        <v>68</v>
      </c>
      <c r="X190" s="12">
        <v>44.296191</v>
      </c>
      <c r="Y190" s="12">
        <v>7.4305859999999999</v>
      </c>
      <c r="Z190" s="14" t="s">
        <v>69</v>
      </c>
      <c r="AA190" s="12">
        <v>1244</v>
      </c>
      <c r="AB190" s="12" t="str">
        <f t="shared" si="38"/>
        <v>44.296191/7.430586</v>
      </c>
      <c r="AC190" s="13" t="s">
        <v>1473</v>
      </c>
      <c r="AD190" s="25">
        <v>46054</v>
      </c>
      <c r="AE190" s="14" t="s">
        <v>70</v>
      </c>
      <c r="AF190" s="14" t="s">
        <v>71</v>
      </c>
      <c r="AG190" s="14" t="s">
        <v>72</v>
      </c>
      <c r="AH190" s="12" t="str">
        <f t="shared" si="36"/>
        <v>Europa | Italy | Piedmont | Andonno</v>
      </c>
      <c r="AI190" s="12" t="s">
        <v>73</v>
      </c>
      <c r="AJ190" s="12"/>
      <c r="AK190" s="12" t="s">
        <v>74</v>
      </c>
      <c r="AL190" s="12" t="str">
        <f t="shared" si="39"/>
        <v>ITA</v>
      </c>
      <c r="AM190" s="12" t="s">
        <v>90</v>
      </c>
      <c r="AN190" s="12" t="s">
        <v>582</v>
      </c>
      <c r="AO190" s="12" t="s">
        <v>57</v>
      </c>
      <c r="AP190" s="12" t="s">
        <v>77</v>
      </c>
      <c r="AQ190" s="12" t="s">
        <v>78</v>
      </c>
      <c r="AR190" s="12" t="s">
        <v>79</v>
      </c>
      <c r="AS190" s="12" t="s">
        <v>1360</v>
      </c>
      <c r="AT190" s="12" t="s">
        <v>80</v>
      </c>
      <c r="AU190" s="12" t="s">
        <v>628</v>
      </c>
      <c r="AV190" s="12">
        <v>2</v>
      </c>
      <c r="AW190" s="12">
        <v>2</v>
      </c>
      <c r="AX190" s="12" t="s">
        <v>81</v>
      </c>
      <c r="AY190" s="12" t="s">
        <v>82</v>
      </c>
      <c r="AZ190" s="12" t="s">
        <v>83</v>
      </c>
      <c r="BA190" s="12" t="s">
        <v>84</v>
      </c>
      <c r="BB190" s="12"/>
      <c r="BC190" s="27" t="s">
        <v>1863</v>
      </c>
      <c r="BD190" s="27" t="s">
        <v>1864</v>
      </c>
      <c r="BE190" s="12"/>
    </row>
    <row r="191" spans="1:57" x14ac:dyDescent="0.25">
      <c r="A191" s="12" t="s">
        <v>628</v>
      </c>
      <c r="B191" s="12" t="s">
        <v>57</v>
      </c>
      <c r="C191" s="25">
        <v>21813</v>
      </c>
      <c r="D191" s="12">
        <f t="shared" si="40"/>
        <v>263</v>
      </c>
      <c r="E191" s="23">
        <f t="shared" si="30"/>
        <v>263</v>
      </c>
      <c r="F191" s="12">
        <f t="shared" si="31"/>
        <v>1959</v>
      </c>
      <c r="G191" s="12">
        <f t="shared" si="32"/>
        <v>9</v>
      </c>
      <c r="H191" s="12">
        <f t="shared" si="33"/>
        <v>20</v>
      </c>
      <c r="I191" s="24">
        <f t="shared" si="37"/>
        <v>21813</v>
      </c>
      <c r="J191" s="12" t="s">
        <v>58</v>
      </c>
      <c r="K191" s="12" t="str">
        <f t="shared" si="34"/>
        <v>Phoenicurus phoenicurus (Linnaeus, 1758)</v>
      </c>
      <c r="L191" s="12" t="str">
        <f t="shared" si="35"/>
        <v>Animalia|Chordata|Aves|Passeriformes|Muscicapidae|Phoenicurus</v>
      </c>
      <c r="M191" s="12" t="s">
        <v>59</v>
      </c>
      <c r="N191" s="12" t="s">
        <v>60</v>
      </c>
      <c r="O191" s="12" t="s">
        <v>61</v>
      </c>
      <c r="P191" s="12" t="s">
        <v>62</v>
      </c>
      <c r="Q191" s="12" t="s">
        <v>177</v>
      </c>
      <c r="R191" s="12" t="s">
        <v>958</v>
      </c>
      <c r="S191" s="12" t="s">
        <v>624</v>
      </c>
      <c r="T191" s="12" t="s">
        <v>66</v>
      </c>
      <c r="U191" s="12" t="s">
        <v>625</v>
      </c>
      <c r="V191" s="12" t="s">
        <v>1165</v>
      </c>
      <c r="W191" s="12" t="s">
        <v>68</v>
      </c>
      <c r="X191" s="12">
        <v>44.33014</v>
      </c>
      <c r="Y191" s="12">
        <v>7.4859239999999998</v>
      </c>
      <c r="Z191" s="14" t="s">
        <v>69</v>
      </c>
      <c r="AA191" s="12">
        <v>1929</v>
      </c>
      <c r="AB191" s="12" t="str">
        <f t="shared" si="38"/>
        <v>44.33014/7.485924</v>
      </c>
      <c r="AC191" s="13" t="s">
        <v>1473</v>
      </c>
      <c r="AD191" s="25">
        <v>46054</v>
      </c>
      <c r="AE191" s="14" t="s">
        <v>70</v>
      </c>
      <c r="AF191" s="14" t="s">
        <v>71</v>
      </c>
      <c r="AG191" s="14" t="s">
        <v>72</v>
      </c>
      <c r="AH191" s="12" t="str">
        <f t="shared" si="36"/>
        <v>Europa | Italy | Piedmont | Borgo San Dalmazzo</v>
      </c>
      <c r="AI191" s="12" t="s">
        <v>73</v>
      </c>
      <c r="AJ191" s="12"/>
      <c r="AK191" s="12" t="s">
        <v>74</v>
      </c>
      <c r="AL191" s="12" t="str">
        <f t="shared" si="39"/>
        <v>ITA</v>
      </c>
      <c r="AM191" s="12" t="s">
        <v>90</v>
      </c>
      <c r="AN191" s="12" t="s">
        <v>160</v>
      </c>
      <c r="AO191" s="12" t="s">
        <v>57</v>
      </c>
      <c r="AP191" s="12" t="s">
        <v>77</v>
      </c>
      <c r="AQ191" s="12" t="s">
        <v>78</v>
      </c>
      <c r="AR191" s="12" t="s">
        <v>79</v>
      </c>
      <c r="AS191" s="12" t="s">
        <v>1361</v>
      </c>
      <c r="AT191" s="12" t="s">
        <v>80</v>
      </c>
      <c r="AU191" s="12" t="s">
        <v>632</v>
      </c>
      <c r="AV191" s="12">
        <v>1</v>
      </c>
      <c r="AW191" s="12">
        <v>1</v>
      </c>
      <c r="AX191" s="12" t="s">
        <v>81</v>
      </c>
      <c r="AY191" s="12" t="s">
        <v>82</v>
      </c>
      <c r="AZ191" s="12" t="s">
        <v>83</v>
      </c>
      <c r="BA191" s="12" t="s">
        <v>93</v>
      </c>
      <c r="BB191" s="12"/>
      <c r="BC191" s="27" t="s">
        <v>1865</v>
      </c>
      <c r="BD191" s="27" t="s">
        <v>1866</v>
      </c>
      <c r="BE191" s="12"/>
    </row>
    <row r="192" spans="1:57" x14ac:dyDescent="0.25">
      <c r="A192" s="12" t="s">
        <v>632</v>
      </c>
      <c r="B192" s="12" t="s">
        <v>57</v>
      </c>
      <c r="C192" s="25">
        <v>21806</v>
      </c>
      <c r="D192" s="12">
        <f t="shared" si="40"/>
        <v>256</v>
      </c>
      <c r="E192" s="23">
        <f t="shared" si="30"/>
        <v>256</v>
      </c>
      <c r="F192" s="12">
        <f t="shared" si="31"/>
        <v>1959</v>
      </c>
      <c r="G192" s="12">
        <f t="shared" si="32"/>
        <v>9</v>
      </c>
      <c r="H192" s="12">
        <f t="shared" si="33"/>
        <v>13</v>
      </c>
      <c r="I192" s="24">
        <f t="shared" si="37"/>
        <v>21806</v>
      </c>
      <c r="J192" s="12" t="s">
        <v>334</v>
      </c>
      <c r="K192" s="12" t="str">
        <f t="shared" si="34"/>
        <v>Luscinia megarhynchos (Brehm, 1831)</v>
      </c>
      <c r="L192" s="12" t="str">
        <f t="shared" si="35"/>
        <v>Animalia|Chordata|Aves|Passeriformes|Muscicapidae|Luscinia</v>
      </c>
      <c r="M192" s="12" t="s">
        <v>59</v>
      </c>
      <c r="N192" s="12" t="s">
        <v>60</v>
      </c>
      <c r="O192" s="12" t="s">
        <v>61</v>
      </c>
      <c r="P192" s="12" t="s">
        <v>62</v>
      </c>
      <c r="Q192" s="12" t="s">
        <v>177</v>
      </c>
      <c r="R192" s="12" t="s">
        <v>959</v>
      </c>
      <c r="S192" s="12" t="s">
        <v>634</v>
      </c>
      <c r="T192" s="12" t="s">
        <v>66</v>
      </c>
      <c r="U192" s="12" t="s">
        <v>635</v>
      </c>
      <c r="V192" s="12" t="s">
        <v>1165</v>
      </c>
      <c r="W192" s="12" t="s">
        <v>68</v>
      </c>
      <c r="X192" s="12">
        <v>44.33014</v>
      </c>
      <c r="Y192" s="12">
        <v>7.4859239999999998</v>
      </c>
      <c r="Z192" s="14" t="s">
        <v>69</v>
      </c>
      <c r="AA192" s="12">
        <v>1929</v>
      </c>
      <c r="AB192" s="12" t="str">
        <f t="shared" si="38"/>
        <v>44.33014/7.485924</v>
      </c>
      <c r="AC192" s="13" t="s">
        <v>1473</v>
      </c>
      <c r="AD192" s="25">
        <v>46054</v>
      </c>
      <c r="AE192" s="14" t="s">
        <v>70</v>
      </c>
      <c r="AF192" s="14" t="s">
        <v>71</v>
      </c>
      <c r="AG192" s="14" t="s">
        <v>72</v>
      </c>
      <c r="AH192" s="12" t="str">
        <f t="shared" si="36"/>
        <v>Europa | Italy | Piedmont | Borgo San Dalmazzo</v>
      </c>
      <c r="AI192" s="12" t="s">
        <v>73</v>
      </c>
      <c r="AJ192" s="12"/>
      <c r="AK192" s="12" t="s">
        <v>74</v>
      </c>
      <c r="AL192" s="12" t="str">
        <f t="shared" si="39"/>
        <v>ITA</v>
      </c>
      <c r="AM192" s="12" t="s">
        <v>90</v>
      </c>
      <c r="AN192" s="12" t="s">
        <v>160</v>
      </c>
      <c r="AO192" s="12" t="s">
        <v>57</v>
      </c>
      <c r="AP192" s="12" t="s">
        <v>77</v>
      </c>
      <c r="AQ192" s="12" t="s">
        <v>78</v>
      </c>
      <c r="AR192" s="12" t="s">
        <v>79</v>
      </c>
      <c r="AS192" s="12" t="s">
        <v>1362</v>
      </c>
      <c r="AT192" s="12" t="s">
        <v>92</v>
      </c>
      <c r="AU192" s="12" t="s">
        <v>633</v>
      </c>
      <c r="AV192" s="12">
        <v>1</v>
      </c>
      <c r="AW192" s="12">
        <v>1</v>
      </c>
      <c r="AX192" s="12" t="s">
        <v>81</v>
      </c>
      <c r="AY192" s="12" t="s">
        <v>82</v>
      </c>
      <c r="AZ192" s="12" t="s">
        <v>83</v>
      </c>
      <c r="BA192" s="12" t="s">
        <v>93</v>
      </c>
      <c r="BB192" s="12"/>
      <c r="BC192" s="27" t="s">
        <v>1867</v>
      </c>
      <c r="BD192" s="27" t="s">
        <v>1868</v>
      </c>
      <c r="BE192" s="12"/>
    </row>
    <row r="193" spans="1:57" x14ac:dyDescent="0.25">
      <c r="A193" s="12" t="s">
        <v>633</v>
      </c>
      <c r="B193" s="12" t="s">
        <v>57</v>
      </c>
      <c r="C193" s="25">
        <v>20895</v>
      </c>
      <c r="D193" s="12">
        <f t="shared" si="40"/>
        <v>75</v>
      </c>
      <c r="E193" s="23">
        <f t="shared" ref="E193:E256" si="41">IFERROR(C193-DATE(YEAR(C193),1,1)+1,"")</f>
        <v>75</v>
      </c>
      <c r="F193" s="12">
        <f t="shared" ref="F193:F256" si="42">IFERROR(IF(C193="","",IF(C193&lt;10000,C193,YEAR(C193))),"")</f>
        <v>1957</v>
      </c>
      <c r="G193" s="12">
        <f t="shared" ref="G193:G256" si="43">IFERROR(MONTH(C193),"")</f>
        <v>3</v>
      </c>
      <c r="H193" s="12">
        <f t="shared" ref="H193:H256" si="44">IFERROR(DAY(C193),"")</f>
        <v>16</v>
      </c>
      <c r="I193" s="24">
        <f t="shared" si="37"/>
        <v>20895</v>
      </c>
      <c r="J193" s="12" t="s">
        <v>58</v>
      </c>
      <c r="K193" s="12" t="str">
        <f t="shared" ref="K193:K256" si="45">R193&amp;" "&amp;S193&amp;" "&amp;"("&amp;J193&amp;")"</f>
        <v>Phoenicurus phoenicurus (Linnaeus, 1758)</v>
      </c>
      <c r="L193" s="12" t="str">
        <f t="shared" ref="L193:L256" si="46">M193&amp;"|"&amp;N193&amp;"|"&amp;O193&amp;"|"&amp;P193&amp;"|"&amp;Q193&amp;"|"&amp;R193</f>
        <v>Animalia|Chordata|Aves|Passeriformes|Muscicapidae|Phoenicurus</v>
      </c>
      <c r="M193" s="12" t="s">
        <v>59</v>
      </c>
      <c r="N193" s="12" t="s">
        <v>60</v>
      </c>
      <c r="O193" s="12" t="s">
        <v>61</v>
      </c>
      <c r="P193" s="12" t="s">
        <v>62</v>
      </c>
      <c r="Q193" s="12" t="s">
        <v>177</v>
      </c>
      <c r="R193" s="12" t="s">
        <v>958</v>
      </c>
      <c r="S193" s="12" t="s">
        <v>624</v>
      </c>
      <c r="T193" s="12" t="s">
        <v>66</v>
      </c>
      <c r="U193" s="12" t="s">
        <v>625</v>
      </c>
      <c r="V193" s="12"/>
      <c r="W193" s="12" t="s">
        <v>68</v>
      </c>
      <c r="X193" s="12">
        <v>40.970559000000002</v>
      </c>
      <c r="Y193" s="12">
        <v>13.054792000000001</v>
      </c>
      <c r="Z193" s="14" t="s">
        <v>69</v>
      </c>
      <c r="AA193" s="12">
        <v>834</v>
      </c>
      <c r="AB193" s="12" t="str">
        <f t="shared" si="38"/>
        <v>40.970559/13.054792</v>
      </c>
      <c r="AC193" s="13" t="s">
        <v>1473</v>
      </c>
      <c r="AD193" s="25">
        <v>46054</v>
      </c>
      <c r="AE193" s="14" t="s">
        <v>70</v>
      </c>
      <c r="AF193" s="14" t="s">
        <v>71</v>
      </c>
      <c r="AG193" s="14" t="s">
        <v>72</v>
      </c>
      <c r="AH193" s="12" t="str">
        <f t="shared" ref="AH193:AH256" si="47">_xlfn.TEXTJOIN(" | ",TRUE,AI193,AJ193,AK193,AM193,AN193)</f>
        <v>Europa | Zannone | Italy | Lazio | Zannone Island</v>
      </c>
      <c r="AI193" s="12" t="s">
        <v>73</v>
      </c>
      <c r="AJ193" s="12" t="s">
        <v>1486</v>
      </c>
      <c r="AK193" s="12" t="s">
        <v>74</v>
      </c>
      <c r="AL193" s="12" t="str">
        <f t="shared" si="39"/>
        <v>ITA</v>
      </c>
      <c r="AM193" s="12" t="s">
        <v>75</v>
      </c>
      <c r="AN193" s="12" t="s">
        <v>458</v>
      </c>
      <c r="AO193" s="12" t="s">
        <v>57</v>
      </c>
      <c r="AP193" s="12" t="s">
        <v>77</v>
      </c>
      <c r="AQ193" s="12" t="s">
        <v>78</v>
      </c>
      <c r="AR193" s="12" t="s">
        <v>79</v>
      </c>
      <c r="AS193" s="12" t="s">
        <v>1363</v>
      </c>
      <c r="AT193" s="12" t="s">
        <v>80</v>
      </c>
      <c r="AU193" s="12" t="s">
        <v>636</v>
      </c>
      <c r="AV193" s="12">
        <v>1</v>
      </c>
      <c r="AW193" s="12">
        <v>1</v>
      </c>
      <c r="AX193" s="12" t="s">
        <v>81</v>
      </c>
      <c r="AY193" s="12" t="s">
        <v>82</v>
      </c>
      <c r="AZ193" s="12" t="s">
        <v>83</v>
      </c>
      <c r="BA193" s="12" t="s">
        <v>84</v>
      </c>
      <c r="BB193" s="12"/>
      <c r="BC193" s="27" t="s">
        <v>1869</v>
      </c>
      <c r="BD193" s="27" t="s">
        <v>1870</v>
      </c>
      <c r="BE193" s="12"/>
    </row>
    <row r="194" spans="1:57" x14ac:dyDescent="0.25">
      <c r="A194" s="12" t="s">
        <v>636</v>
      </c>
      <c r="B194" s="12" t="s">
        <v>57</v>
      </c>
      <c r="C194" s="25">
        <v>20832</v>
      </c>
      <c r="D194" s="12">
        <f t="shared" si="40"/>
        <v>12</v>
      </c>
      <c r="E194" s="23">
        <f t="shared" si="41"/>
        <v>12</v>
      </c>
      <c r="F194" s="12">
        <f t="shared" si="42"/>
        <v>1957</v>
      </c>
      <c r="G194" s="12">
        <f t="shared" si="43"/>
        <v>1</v>
      </c>
      <c r="H194" s="12">
        <f t="shared" si="44"/>
        <v>12</v>
      </c>
      <c r="I194" s="24">
        <f t="shared" ref="I194:I257" si="48">IF(C194="","",IF(C194&lt;10000,C194,C194))</f>
        <v>20832</v>
      </c>
      <c r="J194" s="12" t="s">
        <v>58</v>
      </c>
      <c r="K194" s="12" t="str">
        <f t="shared" si="45"/>
        <v>Troglodytes troglodytes (Linnaeus, 1758)</v>
      </c>
      <c r="L194" s="12" t="str">
        <f t="shared" si="46"/>
        <v>Animalia|Chordata|Aves|Passeriformes|Troglodytidae|Troglodytes</v>
      </c>
      <c r="M194" s="12" t="s">
        <v>59</v>
      </c>
      <c r="N194" s="12" t="s">
        <v>60</v>
      </c>
      <c r="O194" s="12" t="s">
        <v>61</v>
      </c>
      <c r="P194" s="12" t="s">
        <v>62</v>
      </c>
      <c r="Q194" s="12" t="s">
        <v>638</v>
      </c>
      <c r="R194" s="12" t="s">
        <v>960</v>
      </c>
      <c r="S194" s="12" t="s">
        <v>639</v>
      </c>
      <c r="T194" s="12" t="s">
        <v>66</v>
      </c>
      <c r="U194" s="12" t="s">
        <v>640</v>
      </c>
      <c r="V194" s="12" t="s">
        <v>1165</v>
      </c>
      <c r="W194" s="12" t="s">
        <v>68</v>
      </c>
      <c r="X194" s="12">
        <v>44.33014</v>
      </c>
      <c r="Y194" s="12">
        <v>7.4859239999999998</v>
      </c>
      <c r="Z194" s="14" t="s">
        <v>69</v>
      </c>
      <c r="AA194" s="12">
        <v>1929</v>
      </c>
      <c r="AB194" s="12" t="str">
        <f t="shared" ref="AB194:AB257" si="49">X194&amp;"/"&amp;Y194</f>
        <v>44.33014/7.485924</v>
      </c>
      <c r="AC194" s="13" t="s">
        <v>1473</v>
      </c>
      <c r="AD194" s="25">
        <v>46054</v>
      </c>
      <c r="AE194" s="14" t="s">
        <v>70</v>
      </c>
      <c r="AF194" s="14" t="s">
        <v>71</v>
      </c>
      <c r="AG194" s="14" t="s">
        <v>72</v>
      </c>
      <c r="AH194" s="12" t="str">
        <f t="shared" si="47"/>
        <v>Europa | Italy | Piedmont | Borgo San Dalmazzo</v>
      </c>
      <c r="AI194" s="12" t="s">
        <v>73</v>
      </c>
      <c r="AJ194" s="12"/>
      <c r="AK194" s="12" t="s">
        <v>74</v>
      </c>
      <c r="AL194" s="12" t="str">
        <f t="shared" ref="AL194:AL257" si="50">IF(TRIM(AK194)="Italy","ITA",IF(TRIM(AK194)="Venezuela","VEN",IF(TRIM(AK194)="Brazil","BRA",IF(TRIM(AK194)="Ethiopia","ETH",IF(TRIM(AK194)="Equador","ECU",IF(TRIM(AK194)="France","FRA",IF(TRIM(AK194)="Australia","AUS",IF(TRIM(AK194)="Guatemala","GTM",IF(TRIM(AK194)="Antartica","AQ")))))))))</f>
        <v>ITA</v>
      </c>
      <c r="AM194" s="12" t="s">
        <v>90</v>
      </c>
      <c r="AN194" s="12" t="s">
        <v>160</v>
      </c>
      <c r="AO194" s="12" t="s">
        <v>57</v>
      </c>
      <c r="AP194" s="12" t="s">
        <v>77</v>
      </c>
      <c r="AQ194" s="12" t="s">
        <v>78</v>
      </c>
      <c r="AR194" s="12" t="s">
        <v>79</v>
      </c>
      <c r="AS194" s="12" t="s">
        <v>1364</v>
      </c>
      <c r="AT194" s="12" t="s">
        <v>80</v>
      </c>
      <c r="AU194" s="12" t="s">
        <v>637</v>
      </c>
      <c r="AV194" s="12">
        <v>1</v>
      </c>
      <c r="AW194" s="12">
        <v>1</v>
      </c>
      <c r="AX194" s="12" t="s">
        <v>81</v>
      </c>
      <c r="AY194" s="12" t="s">
        <v>82</v>
      </c>
      <c r="AZ194" s="12" t="s">
        <v>83</v>
      </c>
      <c r="BA194" s="12" t="s">
        <v>84</v>
      </c>
      <c r="BB194" s="12"/>
      <c r="BC194" s="27" t="s">
        <v>1871</v>
      </c>
      <c r="BD194" s="27" t="s">
        <v>1872</v>
      </c>
      <c r="BE194" s="12"/>
    </row>
    <row r="195" spans="1:57" x14ac:dyDescent="0.25">
      <c r="A195" s="12" t="s">
        <v>637</v>
      </c>
      <c r="B195" s="12" t="s">
        <v>57</v>
      </c>
      <c r="C195" s="25">
        <v>20486</v>
      </c>
      <c r="D195" s="12">
        <f t="shared" si="40"/>
        <v>32</v>
      </c>
      <c r="E195" s="23">
        <f t="shared" si="41"/>
        <v>32</v>
      </c>
      <c r="F195" s="12">
        <f t="shared" si="42"/>
        <v>1956</v>
      </c>
      <c r="G195" s="12">
        <f t="shared" si="43"/>
        <v>2</v>
      </c>
      <c r="H195" s="12">
        <f t="shared" si="44"/>
        <v>1</v>
      </c>
      <c r="I195" s="24">
        <f t="shared" si="48"/>
        <v>20486</v>
      </c>
      <c r="J195" s="12" t="s">
        <v>58</v>
      </c>
      <c r="K195" s="12" t="str">
        <f t="shared" si="45"/>
        <v>Troglodytes troglodytes (Linnaeus, 1758)</v>
      </c>
      <c r="L195" s="12" t="str">
        <f t="shared" si="46"/>
        <v>Animalia|Chordata|Aves|Passeriformes|Troglodytidae|Troglodytes</v>
      </c>
      <c r="M195" s="12" t="s">
        <v>59</v>
      </c>
      <c r="N195" s="12" t="s">
        <v>60</v>
      </c>
      <c r="O195" s="12" t="s">
        <v>61</v>
      </c>
      <c r="P195" s="12" t="s">
        <v>62</v>
      </c>
      <c r="Q195" s="12" t="s">
        <v>638</v>
      </c>
      <c r="R195" s="12" t="s">
        <v>960</v>
      </c>
      <c r="S195" s="12" t="s">
        <v>639</v>
      </c>
      <c r="T195" s="12" t="s">
        <v>66</v>
      </c>
      <c r="U195" s="12" t="s">
        <v>640</v>
      </c>
      <c r="V195" s="12" t="s">
        <v>1165</v>
      </c>
      <c r="W195" s="12" t="s">
        <v>68</v>
      </c>
      <c r="X195" s="12">
        <v>44.389569999999999</v>
      </c>
      <c r="Y195" s="12">
        <v>7.513522</v>
      </c>
      <c r="Z195" s="14" t="s">
        <v>69</v>
      </c>
      <c r="AA195" s="12">
        <v>2568</v>
      </c>
      <c r="AB195" s="12" t="str">
        <f t="shared" si="49"/>
        <v>44.38957/7.513522</v>
      </c>
      <c r="AC195" s="13" t="s">
        <v>1473</v>
      </c>
      <c r="AD195" s="25">
        <v>46054</v>
      </c>
      <c r="AE195" s="14" t="s">
        <v>70</v>
      </c>
      <c r="AF195" s="14" t="s">
        <v>71</v>
      </c>
      <c r="AG195" s="14" t="s">
        <v>72</v>
      </c>
      <c r="AH195" s="12" t="str">
        <f t="shared" si="47"/>
        <v>Europa | Italy | Piedmont | Confreria</v>
      </c>
      <c r="AI195" s="12" t="s">
        <v>73</v>
      </c>
      <c r="AJ195" s="12"/>
      <c r="AK195" s="12" t="s">
        <v>74</v>
      </c>
      <c r="AL195" s="12" t="str">
        <f t="shared" si="50"/>
        <v>ITA</v>
      </c>
      <c r="AM195" s="12" t="s">
        <v>90</v>
      </c>
      <c r="AN195" s="12" t="s">
        <v>589</v>
      </c>
      <c r="AO195" s="12" t="s">
        <v>57</v>
      </c>
      <c r="AP195" s="12" t="s">
        <v>77</v>
      </c>
      <c r="AQ195" s="12" t="s">
        <v>78</v>
      </c>
      <c r="AR195" s="12" t="s">
        <v>79</v>
      </c>
      <c r="AS195" s="12" t="s">
        <v>1365</v>
      </c>
      <c r="AT195" s="12" t="s">
        <v>80</v>
      </c>
      <c r="AU195" s="12" t="s">
        <v>641</v>
      </c>
      <c r="AV195" s="12">
        <v>1</v>
      </c>
      <c r="AW195" s="12">
        <v>1</v>
      </c>
      <c r="AX195" s="12" t="s">
        <v>81</v>
      </c>
      <c r="AY195" s="12" t="s">
        <v>82</v>
      </c>
      <c r="AZ195" s="12" t="s">
        <v>83</v>
      </c>
      <c r="BA195" s="12" t="s">
        <v>84</v>
      </c>
      <c r="BB195" s="12"/>
      <c r="BC195" s="27" t="s">
        <v>1873</v>
      </c>
      <c r="BD195" s="27" t="s">
        <v>1874</v>
      </c>
      <c r="BE195" s="12"/>
    </row>
    <row r="196" spans="1:57" x14ac:dyDescent="0.25">
      <c r="A196" s="12" t="s">
        <v>641</v>
      </c>
      <c r="B196" s="12" t="s">
        <v>57</v>
      </c>
      <c r="C196" s="25">
        <v>20774</v>
      </c>
      <c r="D196" s="12">
        <f t="shared" si="40"/>
        <v>320</v>
      </c>
      <c r="E196" s="23">
        <f t="shared" si="41"/>
        <v>320</v>
      </c>
      <c r="F196" s="12">
        <f t="shared" si="42"/>
        <v>1956</v>
      </c>
      <c r="G196" s="12">
        <f t="shared" si="43"/>
        <v>11</v>
      </c>
      <c r="H196" s="12">
        <f t="shared" si="44"/>
        <v>15</v>
      </c>
      <c r="I196" s="24">
        <f t="shared" si="48"/>
        <v>20774</v>
      </c>
      <c r="J196" s="12" t="s">
        <v>58</v>
      </c>
      <c r="K196" s="12" t="str">
        <f t="shared" si="45"/>
        <v>Cinclus cinclus (Linnaeus, 1758)</v>
      </c>
      <c r="L196" s="12" t="str">
        <f t="shared" si="46"/>
        <v>Animalia|Chordata|Aves|Passeriformes|Cinclidae|Cinclus</v>
      </c>
      <c r="M196" s="12" t="s">
        <v>59</v>
      </c>
      <c r="N196" s="12" t="s">
        <v>60</v>
      </c>
      <c r="O196" s="12" t="s">
        <v>61</v>
      </c>
      <c r="P196" s="12" t="s">
        <v>62</v>
      </c>
      <c r="Q196" s="12" t="s">
        <v>643</v>
      </c>
      <c r="R196" s="12" t="s">
        <v>961</v>
      </c>
      <c r="S196" s="12" t="s">
        <v>644</v>
      </c>
      <c r="T196" s="12" t="s">
        <v>66</v>
      </c>
      <c r="U196" s="12" t="s">
        <v>645</v>
      </c>
      <c r="V196" s="12" t="s">
        <v>1165</v>
      </c>
      <c r="W196" s="12" t="s">
        <v>68</v>
      </c>
      <c r="X196" s="12">
        <v>44.33014</v>
      </c>
      <c r="Y196" s="12">
        <v>7.4859239999999998</v>
      </c>
      <c r="Z196" s="14" t="s">
        <v>69</v>
      </c>
      <c r="AA196" s="12">
        <v>1929</v>
      </c>
      <c r="AB196" s="12" t="str">
        <f t="shared" si="49"/>
        <v>44.33014/7.485924</v>
      </c>
      <c r="AC196" s="13" t="s">
        <v>1473</v>
      </c>
      <c r="AD196" s="25">
        <v>46054</v>
      </c>
      <c r="AE196" s="14" t="s">
        <v>70</v>
      </c>
      <c r="AF196" s="14" t="s">
        <v>71</v>
      </c>
      <c r="AG196" s="14" t="s">
        <v>72</v>
      </c>
      <c r="AH196" s="12" t="str">
        <f t="shared" si="47"/>
        <v>Europa | Italy | Piedmont | Borgo San Dalmazzo</v>
      </c>
      <c r="AI196" s="12" t="s">
        <v>73</v>
      </c>
      <c r="AJ196" s="12"/>
      <c r="AK196" s="12" t="s">
        <v>74</v>
      </c>
      <c r="AL196" s="12" t="str">
        <f t="shared" si="50"/>
        <v>ITA</v>
      </c>
      <c r="AM196" s="12" t="s">
        <v>90</v>
      </c>
      <c r="AN196" s="12" t="s">
        <v>160</v>
      </c>
      <c r="AO196" s="12" t="s">
        <v>57</v>
      </c>
      <c r="AP196" s="12" t="s">
        <v>77</v>
      </c>
      <c r="AQ196" s="12" t="s">
        <v>78</v>
      </c>
      <c r="AR196" s="12" t="s">
        <v>79</v>
      </c>
      <c r="AS196" s="12" t="s">
        <v>1366</v>
      </c>
      <c r="AT196" s="12" t="s">
        <v>92</v>
      </c>
      <c r="AU196" s="12" t="s">
        <v>642</v>
      </c>
      <c r="AV196" s="12">
        <v>1</v>
      </c>
      <c r="AW196" s="12">
        <v>1</v>
      </c>
      <c r="AX196" s="12" t="s">
        <v>81</v>
      </c>
      <c r="AY196" s="12" t="s">
        <v>82</v>
      </c>
      <c r="AZ196" s="12" t="s">
        <v>83</v>
      </c>
      <c r="BA196" s="12" t="s">
        <v>84</v>
      </c>
      <c r="BB196" s="12"/>
      <c r="BC196" s="27" t="s">
        <v>1875</v>
      </c>
      <c r="BD196" s="27" t="s">
        <v>1876</v>
      </c>
      <c r="BE196" s="12"/>
    </row>
    <row r="197" spans="1:57" x14ac:dyDescent="0.25">
      <c r="A197" s="12" t="s">
        <v>642</v>
      </c>
      <c r="B197" s="12" t="s">
        <v>57</v>
      </c>
      <c r="C197" s="25">
        <v>22524</v>
      </c>
      <c r="D197" s="12">
        <f t="shared" si="40"/>
        <v>243</v>
      </c>
      <c r="E197" s="23">
        <f t="shared" si="41"/>
        <v>243</v>
      </c>
      <c r="F197" s="12">
        <f t="shared" si="42"/>
        <v>1961</v>
      </c>
      <c r="G197" s="12">
        <f t="shared" si="43"/>
        <v>8</v>
      </c>
      <c r="H197" s="12">
        <f t="shared" si="44"/>
        <v>31</v>
      </c>
      <c r="I197" s="24">
        <f t="shared" si="48"/>
        <v>22524</v>
      </c>
      <c r="J197" s="12" t="s">
        <v>58</v>
      </c>
      <c r="K197" s="12" t="str">
        <f t="shared" si="45"/>
        <v>Cinclus cinclus (Linnaeus, 1758)</v>
      </c>
      <c r="L197" s="12" t="str">
        <f t="shared" si="46"/>
        <v>Animalia|Chordata|Aves|Passeriformes|Cinclidae|Cinclus</v>
      </c>
      <c r="M197" s="12" t="s">
        <v>59</v>
      </c>
      <c r="N197" s="12" t="s">
        <v>60</v>
      </c>
      <c r="O197" s="12" t="s">
        <v>61</v>
      </c>
      <c r="P197" s="12" t="s">
        <v>62</v>
      </c>
      <c r="Q197" s="12" t="s">
        <v>643</v>
      </c>
      <c r="R197" s="12" t="s">
        <v>961</v>
      </c>
      <c r="S197" s="12" t="s">
        <v>644</v>
      </c>
      <c r="T197" s="12" t="s">
        <v>66</v>
      </c>
      <c r="U197" s="12" t="s">
        <v>645</v>
      </c>
      <c r="V197" s="12" t="s">
        <v>1165</v>
      </c>
      <c r="W197" s="12" t="s">
        <v>68</v>
      </c>
      <c r="X197" s="12">
        <v>45.388095</v>
      </c>
      <c r="Y197" s="12">
        <v>11.794121000000001</v>
      </c>
      <c r="Z197" s="14" t="s">
        <v>69</v>
      </c>
      <c r="AA197" s="12">
        <v>1509</v>
      </c>
      <c r="AB197" s="12" t="str">
        <f t="shared" si="49"/>
        <v>45.388095/11.794121</v>
      </c>
      <c r="AC197" s="13" t="s">
        <v>1473</v>
      </c>
      <c r="AD197" s="25">
        <v>46054</v>
      </c>
      <c r="AE197" s="14" t="s">
        <v>70</v>
      </c>
      <c r="AF197" s="14" t="s">
        <v>71</v>
      </c>
      <c r="AG197" s="14" t="s">
        <v>72</v>
      </c>
      <c r="AH197" s="12" t="str">
        <f t="shared" si="47"/>
        <v>Europa | Italy | Piedmont | Cuneo</v>
      </c>
      <c r="AI197" s="12" t="s">
        <v>73</v>
      </c>
      <c r="AJ197" s="12"/>
      <c r="AK197" s="12" t="s">
        <v>74</v>
      </c>
      <c r="AL197" s="12" t="str">
        <f t="shared" si="50"/>
        <v>ITA</v>
      </c>
      <c r="AM197" s="12" t="s">
        <v>90</v>
      </c>
      <c r="AN197" s="12" t="s">
        <v>206</v>
      </c>
      <c r="AO197" s="12" t="s">
        <v>57</v>
      </c>
      <c r="AP197" s="12" t="s">
        <v>77</v>
      </c>
      <c r="AQ197" s="12" t="s">
        <v>78</v>
      </c>
      <c r="AR197" s="12" t="s">
        <v>79</v>
      </c>
      <c r="AS197" s="12" t="s">
        <v>1367</v>
      </c>
      <c r="AT197" s="12" t="s">
        <v>92</v>
      </c>
      <c r="AU197" s="12" t="s">
        <v>646</v>
      </c>
      <c r="AV197" s="12">
        <v>1</v>
      </c>
      <c r="AW197" s="12">
        <v>1</v>
      </c>
      <c r="AX197" s="12" t="s">
        <v>81</v>
      </c>
      <c r="AY197" s="12" t="s">
        <v>82</v>
      </c>
      <c r="AZ197" s="12" t="s">
        <v>83</v>
      </c>
      <c r="BA197" s="12" t="s">
        <v>84</v>
      </c>
      <c r="BB197" s="12"/>
      <c r="BC197" s="27" t="s">
        <v>1875</v>
      </c>
      <c r="BD197" s="27" t="s">
        <v>1876</v>
      </c>
      <c r="BE197" s="12"/>
    </row>
    <row r="198" spans="1:57" x14ac:dyDescent="0.25">
      <c r="A198" s="12" t="s">
        <v>646</v>
      </c>
      <c r="B198" s="12" t="s">
        <v>57</v>
      </c>
      <c r="C198" s="25">
        <v>28579</v>
      </c>
      <c r="D198" s="12">
        <f t="shared" si="40"/>
        <v>89</v>
      </c>
      <c r="E198" s="23">
        <f t="shared" si="41"/>
        <v>89</v>
      </c>
      <c r="F198" s="12">
        <f t="shared" si="42"/>
        <v>1978</v>
      </c>
      <c r="G198" s="12">
        <f t="shared" si="43"/>
        <v>3</v>
      </c>
      <c r="H198" s="12">
        <f t="shared" si="44"/>
        <v>30</v>
      </c>
      <c r="I198" s="24">
        <f t="shared" si="48"/>
        <v>28579</v>
      </c>
      <c r="J198" s="12" t="s">
        <v>58</v>
      </c>
      <c r="K198" s="12" t="str">
        <f t="shared" si="45"/>
        <v>Prunella modularis (Linnaeus, 1758)</v>
      </c>
      <c r="L198" s="12" t="str">
        <f t="shared" si="46"/>
        <v>Animalia|Chordata|Aves|Passeriformes|Prunellidae|Prunella</v>
      </c>
      <c r="M198" s="12" t="s">
        <v>59</v>
      </c>
      <c r="N198" s="12" t="s">
        <v>60</v>
      </c>
      <c r="O198" s="12" t="s">
        <v>61</v>
      </c>
      <c r="P198" s="12" t="s">
        <v>62</v>
      </c>
      <c r="Q198" s="12" t="s">
        <v>648</v>
      </c>
      <c r="R198" s="12" t="s">
        <v>962</v>
      </c>
      <c r="S198" s="12" t="s">
        <v>649</v>
      </c>
      <c r="T198" s="12" t="s">
        <v>66</v>
      </c>
      <c r="U198" s="12" t="s">
        <v>650</v>
      </c>
      <c r="V198" s="12" t="s">
        <v>1167</v>
      </c>
      <c r="W198" s="12" t="s">
        <v>68</v>
      </c>
      <c r="X198" s="12">
        <v>42.25</v>
      </c>
      <c r="Y198" s="12">
        <v>11.75</v>
      </c>
      <c r="Z198" s="14" t="s">
        <v>69</v>
      </c>
      <c r="AA198" s="12">
        <v>2539</v>
      </c>
      <c r="AB198" s="12" t="str">
        <f t="shared" si="49"/>
        <v>42.25/11.75</v>
      </c>
      <c r="AC198" s="13" t="s">
        <v>1473</v>
      </c>
      <c r="AD198" s="25">
        <v>46054</v>
      </c>
      <c r="AE198" s="14" t="s">
        <v>70</v>
      </c>
      <c r="AF198" s="14" t="s">
        <v>71</v>
      </c>
      <c r="AG198" s="14" t="s">
        <v>72</v>
      </c>
      <c r="AH198" s="12" t="str">
        <f t="shared" si="47"/>
        <v>Europa | Italy | Lazio | Tarquinia</v>
      </c>
      <c r="AI198" s="12" t="s">
        <v>73</v>
      </c>
      <c r="AJ198" s="12"/>
      <c r="AK198" s="12" t="s">
        <v>74</v>
      </c>
      <c r="AL198" s="12" t="str">
        <f t="shared" si="50"/>
        <v>ITA</v>
      </c>
      <c r="AM198" s="12" t="s">
        <v>75</v>
      </c>
      <c r="AN198" s="12" t="s">
        <v>273</v>
      </c>
      <c r="AO198" s="12" t="s">
        <v>57</v>
      </c>
      <c r="AP198" s="12" t="s">
        <v>77</v>
      </c>
      <c r="AQ198" s="12" t="s">
        <v>78</v>
      </c>
      <c r="AR198" s="12" t="s">
        <v>79</v>
      </c>
      <c r="AS198" s="12" t="s">
        <v>1368</v>
      </c>
      <c r="AT198" s="12"/>
      <c r="AU198" s="12" t="s">
        <v>647</v>
      </c>
      <c r="AV198" s="12">
        <v>1</v>
      </c>
      <c r="AW198" s="12">
        <v>1</v>
      </c>
      <c r="AX198" s="12" t="s">
        <v>81</v>
      </c>
      <c r="AY198" s="12" t="s">
        <v>82</v>
      </c>
      <c r="AZ198" s="12" t="s">
        <v>83</v>
      </c>
      <c r="BA198" s="12" t="s">
        <v>84</v>
      </c>
      <c r="BB198" s="12"/>
      <c r="BC198" s="27" t="s">
        <v>1877</v>
      </c>
      <c r="BD198" s="27" t="s">
        <v>1878</v>
      </c>
      <c r="BE198" s="12"/>
    </row>
    <row r="199" spans="1:57" x14ac:dyDescent="0.25">
      <c r="A199" s="12" t="s">
        <v>647</v>
      </c>
      <c r="B199" s="12" t="s">
        <v>57</v>
      </c>
      <c r="C199" s="25">
        <v>20373</v>
      </c>
      <c r="D199" s="12">
        <f t="shared" si="40"/>
        <v>284</v>
      </c>
      <c r="E199" s="23">
        <f t="shared" si="41"/>
        <v>284</v>
      </c>
      <c r="F199" s="12">
        <f t="shared" si="42"/>
        <v>1955</v>
      </c>
      <c r="G199" s="12">
        <f t="shared" si="43"/>
        <v>10</v>
      </c>
      <c r="H199" s="12">
        <f t="shared" si="44"/>
        <v>11</v>
      </c>
      <c r="I199" s="24">
        <f t="shared" si="48"/>
        <v>20373</v>
      </c>
      <c r="J199" s="12" t="s">
        <v>58</v>
      </c>
      <c r="K199" s="12" t="str">
        <f t="shared" si="45"/>
        <v>Monticola alba (Linnaeus, 1758)</v>
      </c>
      <c r="L199" s="12" t="str">
        <f t="shared" si="46"/>
        <v>Animalia|Chordata|Aves|Passeriformes|Motacillidae|Monticola</v>
      </c>
      <c r="M199" s="12" t="s">
        <v>59</v>
      </c>
      <c r="N199" s="12" t="s">
        <v>60</v>
      </c>
      <c r="O199" s="12" t="s">
        <v>61</v>
      </c>
      <c r="P199" s="12" t="s">
        <v>62</v>
      </c>
      <c r="Q199" s="12" t="s">
        <v>652</v>
      </c>
      <c r="R199" s="12" t="s">
        <v>963</v>
      </c>
      <c r="S199" s="12" t="s">
        <v>352</v>
      </c>
      <c r="T199" s="12" t="s">
        <v>66</v>
      </c>
      <c r="U199" s="12" t="s">
        <v>653</v>
      </c>
      <c r="V199" s="12" t="s">
        <v>1167</v>
      </c>
      <c r="W199" s="12" t="s">
        <v>68</v>
      </c>
      <c r="X199" s="12">
        <v>45.416666999999997</v>
      </c>
      <c r="Y199" s="12">
        <v>11.883333</v>
      </c>
      <c r="Z199" s="14" t="s">
        <v>69</v>
      </c>
      <c r="AA199" s="12">
        <v>7350</v>
      </c>
      <c r="AB199" s="12" t="str">
        <f t="shared" si="49"/>
        <v>45.416667/11.883333</v>
      </c>
      <c r="AC199" s="13" t="s">
        <v>1473</v>
      </c>
      <c r="AD199" s="25">
        <v>46054</v>
      </c>
      <c r="AE199" s="14" t="s">
        <v>70</v>
      </c>
      <c r="AF199" s="14" t="s">
        <v>71</v>
      </c>
      <c r="AG199" s="14" t="s">
        <v>72</v>
      </c>
      <c r="AH199" s="12" t="str">
        <f t="shared" si="47"/>
        <v>Europa | Italy | Veneto | Padua</v>
      </c>
      <c r="AI199" s="12" t="s">
        <v>73</v>
      </c>
      <c r="AJ199" s="12"/>
      <c r="AK199" s="12" t="s">
        <v>74</v>
      </c>
      <c r="AL199" s="12" t="str">
        <f t="shared" si="50"/>
        <v>ITA</v>
      </c>
      <c r="AM199" s="12" t="s">
        <v>150</v>
      </c>
      <c r="AN199" s="12" t="s">
        <v>151</v>
      </c>
      <c r="AO199" s="12" t="s">
        <v>57</v>
      </c>
      <c r="AP199" s="12" t="s">
        <v>77</v>
      </c>
      <c r="AQ199" s="12" t="s">
        <v>78</v>
      </c>
      <c r="AR199" s="12" t="s">
        <v>79</v>
      </c>
      <c r="AS199" s="12" t="s">
        <v>1369</v>
      </c>
      <c r="AT199" s="12"/>
      <c r="AU199" s="12" t="s">
        <v>651</v>
      </c>
      <c r="AV199" s="12">
        <v>1</v>
      </c>
      <c r="AW199" s="12">
        <v>1</v>
      </c>
      <c r="AX199" s="12" t="s">
        <v>81</v>
      </c>
      <c r="AY199" s="12" t="s">
        <v>82</v>
      </c>
      <c r="AZ199" s="12" t="s">
        <v>83</v>
      </c>
      <c r="BA199" s="12" t="s">
        <v>84</v>
      </c>
      <c r="BB199" s="12"/>
      <c r="BC199" s="27" t="s">
        <v>1879</v>
      </c>
      <c r="BD199" s="27" t="s">
        <v>1880</v>
      </c>
      <c r="BE199" s="12"/>
    </row>
    <row r="200" spans="1:57" x14ac:dyDescent="0.25">
      <c r="A200" s="12" t="s">
        <v>651</v>
      </c>
      <c r="B200" s="12" t="s">
        <v>57</v>
      </c>
      <c r="C200" s="12">
        <v>1960</v>
      </c>
      <c r="D200" s="12"/>
      <c r="E200" s="23"/>
      <c r="F200" s="12">
        <f t="shared" si="42"/>
        <v>1960</v>
      </c>
      <c r="G200" s="12"/>
      <c r="H200" s="12"/>
      <c r="I200" s="24">
        <f t="shared" si="48"/>
        <v>1960</v>
      </c>
      <c r="J200" s="12" t="s">
        <v>655</v>
      </c>
      <c r="K200" s="12" t="str">
        <f t="shared" si="45"/>
        <v>Monticola cinerea (Tunstall, 1771)</v>
      </c>
      <c r="L200" s="12" t="str">
        <f t="shared" si="46"/>
        <v>Animalia|Chordata|Aves|Passeriformes|Motacillidae|Monticola</v>
      </c>
      <c r="M200" s="12" t="s">
        <v>59</v>
      </c>
      <c r="N200" s="12" t="s">
        <v>60</v>
      </c>
      <c r="O200" s="12" t="s">
        <v>61</v>
      </c>
      <c r="P200" s="12" t="s">
        <v>62</v>
      </c>
      <c r="Q200" s="12" t="s">
        <v>652</v>
      </c>
      <c r="R200" s="12" t="s">
        <v>963</v>
      </c>
      <c r="S200" s="12" t="s">
        <v>656</v>
      </c>
      <c r="T200" s="12" t="s">
        <v>66</v>
      </c>
      <c r="U200" s="12" t="s">
        <v>657</v>
      </c>
      <c r="V200" s="12"/>
      <c r="W200" s="12" t="s">
        <v>68</v>
      </c>
      <c r="X200" s="12">
        <v>41.9</v>
      </c>
      <c r="Y200" s="12">
        <v>12.483333</v>
      </c>
      <c r="Z200" s="14" t="s">
        <v>69</v>
      </c>
      <c r="AA200" s="12">
        <v>36625</v>
      </c>
      <c r="AB200" s="12" t="str">
        <f t="shared" si="49"/>
        <v>41.9/12.483333</v>
      </c>
      <c r="AC200" s="13" t="s">
        <v>1473</v>
      </c>
      <c r="AD200" s="25">
        <v>46054</v>
      </c>
      <c r="AE200" s="14" t="s">
        <v>70</v>
      </c>
      <c r="AF200" s="14" t="s">
        <v>71</v>
      </c>
      <c r="AG200" s="14" t="s">
        <v>72</v>
      </c>
      <c r="AH200" s="12" t="str">
        <f t="shared" si="47"/>
        <v>Europa | Italy | Lazio | Rome</v>
      </c>
      <c r="AI200" s="12" t="s">
        <v>73</v>
      </c>
      <c r="AJ200" s="12"/>
      <c r="AK200" s="12" t="s">
        <v>74</v>
      </c>
      <c r="AL200" s="12" t="str">
        <f t="shared" si="50"/>
        <v>ITA</v>
      </c>
      <c r="AM200" s="12" t="s">
        <v>75</v>
      </c>
      <c r="AN200" s="12" t="s">
        <v>153</v>
      </c>
      <c r="AO200" s="12" t="s">
        <v>57</v>
      </c>
      <c r="AP200" s="12" t="s">
        <v>77</v>
      </c>
      <c r="AQ200" s="12" t="s">
        <v>78</v>
      </c>
      <c r="AR200" s="12" t="s">
        <v>79</v>
      </c>
      <c r="AS200" s="12" t="s">
        <v>1370</v>
      </c>
      <c r="AT200" s="12"/>
      <c r="AU200" s="12" t="s">
        <v>654</v>
      </c>
      <c r="AV200" s="12">
        <v>1</v>
      </c>
      <c r="AW200" s="12">
        <v>1</v>
      </c>
      <c r="AX200" s="12" t="s">
        <v>81</v>
      </c>
      <c r="AY200" s="12" t="s">
        <v>82</v>
      </c>
      <c r="AZ200" s="12" t="s">
        <v>83</v>
      </c>
      <c r="BA200" s="12" t="s">
        <v>84</v>
      </c>
      <c r="BB200" s="12"/>
      <c r="BC200" s="27" t="s">
        <v>1881</v>
      </c>
      <c r="BD200" s="27" t="s">
        <v>1882</v>
      </c>
      <c r="BE200" s="12"/>
    </row>
    <row r="201" spans="1:57" x14ac:dyDescent="0.25">
      <c r="A201" s="12" t="s">
        <v>654</v>
      </c>
      <c r="B201" s="12" t="s">
        <v>57</v>
      </c>
      <c r="C201" s="25">
        <v>20372</v>
      </c>
      <c r="D201" s="12">
        <f t="shared" si="40"/>
        <v>283</v>
      </c>
      <c r="E201" s="23">
        <f t="shared" si="41"/>
        <v>283</v>
      </c>
      <c r="F201" s="12">
        <f t="shared" si="42"/>
        <v>1955</v>
      </c>
      <c r="G201" s="12">
        <f t="shared" si="43"/>
        <v>10</v>
      </c>
      <c r="H201" s="12">
        <f t="shared" si="44"/>
        <v>10</v>
      </c>
      <c r="I201" s="24">
        <f t="shared" si="48"/>
        <v>20372</v>
      </c>
      <c r="J201" s="12" t="s">
        <v>58</v>
      </c>
      <c r="K201" s="12" t="str">
        <f t="shared" si="45"/>
        <v>Monticola alba (Linnaeus, 1758)</v>
      </c>
      <c r="L201" s="12" t="str">
        <f t="shared" si="46"/>
        <v>Animalia|Chordata|Aves|Passeriformes|Motacillidae|Monticola</v>
      </c>
      <c r="M201" s="12" t="s">
        <v>59</v>
      </c>
      <c r="N201" s="12" t="s">
        <v>60</v>
      </c>
      <c r="O201" s="12" t="s">
        <v>61</v>
      </c>
      <c r="P201" s="12" t="s">
        <v>62</v>
      </c>
      <c r="Q201" s="12" t="s">
        <v>652</v>
      </c>
      <c r="R201" s="12" t="s">
        <v>963</v>
      </c>
      <c r="S201" s="12" t="s">
        <v>352</v>
      </c>
      <c r="T201" s="12" t="s">
        <v>66</v>
      </c>
      <c r="U201" s="12" t="s">
        <v>653</v>
      </c>
      <c r="V201" s="12"/>
      <c r="W201" s="12" t="s">
        <v>68</v>
      </c>
      <c r="X201" s="12">
        <v>45.416666999999997</v>
      </c>
      <c r="Y201" s="12">
        <v>11.883333</v>
      </c>
      <c r="Z201" s="14" t="s">
        <v>69</v>
      </c>
      <c r="AA201" s="12">
        <v>7350</v>
      </c>
      <c r="AB201" s="12" t="str">
        <f t="shared" si="49"/>
        <v>45.416667/11.883333</v>
      </c>
      <c r="AC201" s="13" t="s">
        <v>1473</v>
      </c>
      <c r="AD201" s="25">
        <v>46054</v>
      </c>
      <c r="AE201" s="14" t="s">
        <v>70</v>
      </c>
      <c r="AF201" s="14" t="s">
        <v>71</v>
      </c>
      <c r="AG201" s="14" t="s">
        <v>72</v>
      </c>
      <c r="AH201" s="12" t="str">
        <f t="shared" si="47"/>
        <v>Europa | Italy | Veneto | Padua</v>
      </c>
      <c r="AI201" s="12" t="s">
        <v>73</v>
      </c>
      <c r="AJ201" s="12"/>
      <c r="AK201" s="12" t="s">
        <v>74</v>
      </c>
      <c r="AL201" s="12" t="str">
        <f t="shared" si="50"/>
        <v>ITA</v>
      </c>
      <c r="AM201" s="12" t="s">
        <v>150</v>
      </c>
      <c r="AN201" s="12" t="s">
        <v>151</v>
      </c>
      <c r="AO201" s="12" t="s">
        <v>57</v>
      </c>
      <c r="AP201" s="12" t="s">
        <v>77</v>
      </c>
      <c r="AQ201" s="12" t="s">
        <v>78</v>
      </c>
      <c r="AR201" s="12" t="s">
        <v>79</v>
      </c>
      <c r="AS201" s="12" t="s">
        <v>1371</v>
      </c>
      <c r="AT201" s="12" t="s">
        <v>92</v>
      </c>
      <c r="AU201" s="12" t="s">
        <v>658</v>
      </c>
      <c r="AV201" s="12">
        <v>1</v>
      </c>
      <c r="AW201" s="12">
        <v>1</v>
      </c>
      <c r="AX201" s="12" t="s">
        <v>81</v>
      </c>
      <c r="AY201" s="12" t="s">
        <v>82</v>
      </c>
      <c r="AZ201" s="12" t="s">
        <v>83</v>
      </c>
      <c r="BA201" s="12" t="s">
        <v>84</v>
      </c>
      <c r="BB201" s="12"/>
      <c r="BC201" s="27" t="s">
        <v>1883</v>
      </c>
      <c r="BD201" s="27" t="s">
        <v>1884</v>
      </c>
      <c r="BE201" s="12"/>
    </row>
    <row r="202" spans="1:57" x14ac:dyDescent="0.25">
      <c r="A202" s="12" t="s">
        <v>658</v>
      </c>
      <c r="B202" s="12" t="s">
        <v>57</v>
      </c>
      <c r="C202" s="25">
        <v>21168</v>
      </c>
      <c r="D202" s="12">
        <f t="shared" si="40"/>
        <v>348</v>
      </c>
      <c r="E202" s="23">
        <f t="shared" si="41"/>
        <v>348</v>
      </c>
      <c r="F202" s="12">
        <f t="shared" si="42"/>
        <v>1957</v>
      </c>
      <c r="G202" s="12">
        <f t="shared" si="43"/>
        <v>12</v>
      </c>
      <c r="H202" s="12">
        <f t="shared" si="44"/>
        <v>14</v>
      </c>
      <c r="I202" s="24">
        <f t="shared" si="48"/>
        <v>21168</v>
      </c>
      <c r="J202" s="12" t="s">
        <v>655</v>
      </c>
      <c r="K202" s="12" t="str">
        <f t="shared" si="45"/>
        <v>Monticola cinerea (Tunstall, 1771)</v>
      </c>
      <c r="L202" s="12" t="str">
        <f t="shared" si="46"/>
        <v>Animalia|Chordata|Aves|Passeriformes|Motacillidae|Monticola</v>
      </c>
      <c r="M202" s="12" t="s">
        <v>59</v>
      </c>
      <c r="N202" s="12" t="s">
        <v>60</v>
      </c>
      <c r="O202" s="12" t="s">
        <v>61</v>
      </c>
      <c r="P202" s="12" t="s">
        <v>62</v>
      </c>
      <c r="Q202" s="12" t="s">
        <v>652</v>
      </c>
      <c r="R202" s="12" t="s">
        <v>963</v>
      </c>
      <c r="S202" s="12" t="s">
        <v>656</v>
      </c>
      <c r="T202" s="12" t="s">
        <v>66</v>
      </c>
      <c r="U202" s="12" t="s">
        <v>657</v>
      </c>
      <c r="V202" s="12" t="s">
        <v>1165</v>
      </c>
      <c r="W202" s="12" t="s">
        <v>68</v>
      </c>
      <c r="X202" s="12">
        <v>44.33014</v>
      </c>
      <c r="Y202" s="12">
        <v>7.4859239999999998</v>
      </c>
      <c r="Z202" s="14" t="s">
        <v>69</v>
      </c>
      <c r="AA202" s="12">
        <v>1929</v>
      </c>
      <c r="AB202" s="12" t="str">
        <f t="shared" si="49"/>
        <v>44.33014/7.485924</v>
      </c>
      <c r="AC202" s="13" t="s">
        <v>1473</v>
      </c>
      <c r="AD202" s="25">
        <v>46054</v>
      </c>
      <c r="AE202" s="14" t="s">
        <v>70</v>
      </c>
      <c r="AF202" s="14" t="s">
        <v>71</v>
      </c>
      <c r="AG202" s="14" t="s">
        <v>72</v>
      </c>
      <c r="AH202" s="12" t="str">
        <f t="shared" si="47"/>
        <v>Europa | Italy | Piedmont | Borgo San Dalmazzo</v>
      </c>
      <c r="AI202" s="12" t="s">
        <v>73</v>
      </c>
      <c r="AJ202" s="12"/>
      <c r="AK202" s="12" t="s">
        <v>74</v>
      </c>
      <c r="AL202" s="12" t="str">
        <f t="shared" si="50"/>
        <v>ITA</v>
      </c>
      <c r="AM202" s="12" t="s">
        <v>90</v>
      </c>
      <c r="AN202" s="12" t="s">
        <v>160</v>
      </c>
      <c r="AO202" s="12" t="s">
        <v>57</v>
      </c>
      <c r="AP202" s="12" t="s">
        <v>77</v>
      </c>
      <c r="AQ202" s="12" t="s">
        <v>78</v>
      </c>
      <c r="AR202" s="12" t="s">
        <v>79</v>
      </c>
      <c r="AS202" s="12" t="s">
        <v>1372</v>
      </c>
      <c r="AT202" s="12" t="s">
        <v>92</v>
      </c>
      <c r="AU202" s="12" t="s">
        <v>659</v>
      </c>
      <c r="AV202" s="12">
        <v>1</v>
      </c>
      <c r="AW202" s="12">
        <v>1</v>
      </c>
      <c r="AX202" s="12" t="s">
        <v>81</v>
      </c>
      <c r="AY202" s="12" t="s">
        <v>82</v>
      </c>
      <c r="AZ202" s="12" t="s">
        <v>83</v>
      </c>
      <c r="BA202" s="12" t="s">
        <v>84</v>
      </c>
      <c r="BB202" s="12"/>
      <c r="BC202" s="27" t="s">
        <v>1885</v>
      </c>
      <c r="BD202" s="27" t="s">
        <v>1886</v>
      </c>
      <c r="BE202" s="12"/>
    </row>
    <row r="203" spans="1:57" x14ac:dyDescent="0.25">
      <c r="A203" s="12" t="s">
        <v>659</v>
      </c>
      <c r="B203" s="12" t="s">
        <v>57</v>
      </c>
      <c r="C203" s="12">
        <v>1885</v>
      </c>
      <c r="D203" s="12"/>
      <c r="E203" s="23"/>
      <c r="F203" s="12">
        <f t="shared" si="42"/>
        <v>1885</v>
      </c>
      <c r="G203" s="12"/>
      <c r="H203" s="12"/>
      <c r="I203" s="24">
        <f t="shared" si="48"/>
        <v>1885</v>
      </c>
      <c r="J203" s="12" t="s">
        <v>58</v>
      </c>
      <c r="K203" s="12" t="str">
        <f t="shared" si="45"/>
        <v>Galerida cristata (Linnaeus, 1758)</v>
      </c>
      <c r="L203" s="12" t="str">
        <f t="shared" si="46"/>
        <v>Animalia|Chordata|Aves|Passeriformes|Alaudidae|Galerida</v>
      </c>
      <c r="M203" s="12" t="s">
        <v>59</v>
      </c>
      <c r="N203" s="12" t="s">
        <v>60</v>
      </c>
      <c r="O203" s="12" t="s">
        <v>61</v>
      </c>
      <c r="P203" s="12" t="s">
        <v>62</v>
      </c>
      <c r="Q203" s="12" t="s">
        <v>661</v>
      </c>
      <c r="R203" s="12" t="s">
        <v>964</v>
      </c>
      <c r="S203" s="12" t="s">
        <v>662</v>
      </c>
      <c r="T203" s="12" t="s">
        <v>66</v>
      </c>
      <c r="U203" s="12" t="s">
        <v>663</v>
      </c>
      <c r="V203" s="12" t="s">
        <v>1167</v>
      </c>
      <c r="W203" s="12" t="s">
        <v>68</v>
      </c>
      <c r="X203" s="12">
        <v>41.869748000000001</v>
      </c>
      <c r="Y203" s="12">
        <v>12.442645000000001</v>
      </c>
      <c r="Z203" s="14" t="s">
        <v>69</v>
      </c>
      <c r="AA203" s="12">
        <v>28880</v>
      </c>
      <c r="AB203" s="12" t="str">
        <f t="shared" si="49"/>
        <v>41.869748/12.442645</v>
      </c>
      <c r="AC203" s="13" t="s">
        <v>1473</v>
      </c>
      <c r="AD203" s="25">
        <v>46054</v>
      </c>
      <c r="AE203" s="14" t="s">
        <v>70</v>
      </c>
      <c r="AF203" s="14" t="s">
        <v>71</v>
      </c>
      <c r="AG203" s="14" t="s">
        <v>72</v>
      </c>
      <c r="AH203" s="12" t="str">
        <f t="shared" si="47"/>
        <v>Europa | Italy | Lazio | Ager Romanus</v>
      </c>
      <c r="AI203" s="12" t="s">
        <v>73</v>
      </c>
      <c r="AJ203" s="12"/>
      <c r="AK203" s="12" t="s">
        <v>74</v>
      </c>
      <c r="AL203" s="12" t="str">
        <f t="shared" si="50"/>
        <v>ITA</v>
      </c>
      <c r="AM203" s="12" t="s">
        <v>75</v>
      </c>
      <c r="AN203" s="12" t="s">
        <v>166</v>
      </c>
      <c r="AO203" s="12" t="s">
        <v>57</v>
      </c>
      <c r="AP203" s="12" t="s">
        <v>77</v>
      </c>
      <c r="AQ203" s="12" t="s">
        <v>78</v>
      </c>
      <c r="AR203" s="12" t="s">
        <v>79</v>
      </c>
      <c r="AS203" s="12" t="s">
        <v>1373</v>
      </c>
      <c r="AT203" s="12"/>
      <c r="AU203" s="12" t="s">
        <v>660</v>
      </c>
      <c r="AV203" s="12">
        <v>1</v>
      </c>
      <c r="AW203" s="12">
        <v>1</v>
      </c>
      <c r="AX203" s="12" t="s">
        <v>81</v>
      </c>
      <c r="AY203" s="12" t="s">
        <v>82</v>
      </c>
      <c r="AZ203" s="12" t="s">
        <v>83</v>
      </c>
      <c r="BA203" s="12" t="s">
        <v>84</v>
      </c>
      <c r="BB203" s="12"/>
      <c r="BC203" s="27" t="s">
        <v>1887</v>
      </c>
      <c r="BD203" s="27" t="s">
        <v>1888</v>
      </c>
      <c r="BE203" s="12"/>
    </row>
    <row r="204" spans="1:57" x14ac:dyDescent="0.25">
      <c r="A204" s="12" t="s">
        <v>660</v>
      </c>
      <c r="B204" s="12" t="s">
        <v>57</v>
      </c>
      <c r="C204" s="25">
        <v>20779</v>
      </c>
      <c r="D204" s="12">
        <f t="shared" si="40"/>
        <v>325</v>
      </c>
      <c r="E204" s="23">
        <f t="shared" si="41"/>
        <v>325</v>
      </c>
      <c r="F204" s="12">
        <f t="shared" si="42"/>
        <v>1956</v>
      </c>
      <c r="G204" s="12">
        <f t="shared" si="43"/>
        <v>11</v>
      </c>
      <c r="H204" s="12">
        <f t="shared" si="44"/>
        <v>20</v>
      </c>
      <c r="I204" s="24">
        <f t="shared" si="48"/>
        <v>20779</v>
      </c>
      <c r="J204" s="12" t="s">
        <v>58</v>
      </c>
      <c r="K204" s="12" t="str">
        <f t="shared" si="45"/>
        <v>Anthus trivialis (Linnaeus, 1758)</v>
      </c>
      <c r="L204" s="12" t="str">
        <f t="shared" si="46"/>
        <v>Animalia|Chordata|Aves|Passeriformes|Motacillidae|Anthus</v>
      </c>
      <c r="M204" s="12" t="s">
        <v>59</v>
      </c>
      <c r="N204" s="12" t="s">
        <v>60</v>
      </c>
      <c r="O204" s="12" t="s">
        <v>61</v>
      </c>
      <c r="P204" s="12" t="s">
        <v>62</v>
      </c>
      <c r="Q204" s="12" t="s">
        <v>652</v>
      </c>
      <c r="R204" s="12" t="s">
        <v>965</v>
      </c>
      <c r="S204" s="12" t="s">
        <v>665</v>
      </c>
      <c r="T204" s="12" t="s">
        <v>66</v>
      </c>
      <c r="U204" s="12" t="s">
        <v>666</v>
      </c>
      <c r="V204" s="12" t="s">
        <v>1165</v>
      </c>
      <c r="W204" s="12" t="s">
        <v>68</v>
      </c>
      <c r="X204" s="12">
        <v>44.33014</v>
      </c>
      <c r="Y204" s="12">
        <v>7.4859239999999998</v>
      </c>
      <c r="Z204" s="14" t="s">
        <v>69</v>
      </c>
      <c r="AA204" s="12">
        <v>1929</v>
      </c>
      <c r="AB204" s="12" t="str">
        <f t="shared" si="49"/>
        <v>44.33014/7.485924</v>
      </c>
      <c r="AC204" s="13" t="s">
        <v>1473</v>
      </c>
      <c r="AD204" s="25">
        <v>46054</v>
      </c>
      <c r="AE204" s="14" t="s">
        <v>70</v>
      </c>
      <c r="AF204" s="14" t="s">
        <v>71</v>
      </c>
      <c r="AG204" s="14" t="s">
        <v>72</v>
      </c>
      <c r="AH204" s="12" t="str">
        <f t="shared" si="47"/>
        <v>Europa | Italy | Piedmont | Borgo San Dalmazzo</v>
      </c>
      <c r="AI204" s="12" t="s">
        <v>73</v>
      </c>
      <c r="AJ204" s="12"/>
      <c r="AK204" s="12" t="s">
        <v>74</v>
      </c>
      <c r="AL204" s="12" t="str">
        <f t="shared" si="50"/>
        <v>ITA</v>
      </c>
      <c r="AM204" s="12" t="s">
        <v>90</v>
      </c>
      <c r="AN204" s="12" t="s">
        <v>160</v>
      </c>
      <c r="AO204" s="12" t="s">
        <v>57</v>
      </c>
      <c r="AP204" s="12" t="s">
        <v>77</v>
      </c>
      <c r="AQ204" s="12" t="s">
        <v>78</v>
      </c>
      <c r="AR204" s="12" t="s">
        <v>79</v>
      </c>
      <c r="AS204" s="12" t="s">
        <v>1374</v>
      </c>
      <c r="AT204" s="12" t="s">
        <v>92</v>
      </c>
      <c r="AU204" s="12" t="s">
        <v>664</v>
      </c>
      <c r="AV204" s="12">
        <v>1</v>
      </c>
      <c r="AW204" s="12">
        <v>1</v>
      </c>
      <c r="AX204" s="12" t="s">
        <v>81</v>
      </c>
      <c r="AY204" s="12" t="s">
        <v>82</v>
      </c>
      <c r="AZ204" s="12" t="s">
        <v>83</v>
      </c>
      <c r="BA204" s="12" t="s">
        <v>84</v>
      </c>
      <c r="BB204" s="12"/>
      <c r="BC204" s="27" t="s">
        <v>1889</v>
      </c>
      <c r="BD204" s="27" t="s">
        <v>1890</v>
      </c>
      <c r="BE204" s="12"/>
    </row>
    <row r="205" spans="1:57" s="33" customFormat="1" x14ac:dyDescent="0.25">
      <c r="A205" s="12" t="s">
        <v>664</v>
      </c>
      <c r="B205" s="28" t="s">
        <v>57</v>
      </c>
      <c r="C205" s="29">
        <v>28581</v>
      </c>
      <c r="D205" s="28">
        <f t="shared" ref="D205" si="51">IFERROR(C205-DATE(YEAR(C205),1,1)+1,"")</f>
        <v>91</v>
      </c>
      <c r="E205" s="30">
        <f t="shared" ref="E205" si="52">IFERROR(C205-DATE(YEAR(C205),1,1)+1,"")</f>
        <v>91</v>
      </c>
      <c r="F205" s="28">
        <f t="shared" si="42"/>
        <v>1978</v>
      </c>
      <c r="G205" s="28">
        <f t="shared" ref="G205" si="53">IFERROR(MONTH(C205),"")</f>
        <v>4</v>
      </c>
      <c r="H205" s="28">
        <f t="shared" ref="H205" si="54">IFERROR(DAY(C205),"")</f>
        <v>1</v>
      </c>
      <c r="I205" s="31">
        <f t="shared" si="48"/>
        <v>28581</v>
      </c>
      <c r="J205" s="28" t="s">
        <v>58</v>
      </c>
      <c r="K205" s="28" t="str">
        <f t="shared" si="45"/>
        <v>Hirundo rustica (Linnaeus, 1758)</v>
      </c>
      <c r="L205" s="28" t="str">
        <f t="shared" si="46"/>
        <v>Animalia|Chordata|Aves|Passeriformes|Hirundinidae|Hirundo</v>
      </c>
      <c r="M205" s="28" t="s">
        <v>59</v>
      </c>
      <c r="N205" s="28" t="s">
        <v>60</v>
      </c>
      <c r="O205" s="28" t="s">
        <v>61</v>
      </c>
      <c r="P205" s="28" t="s">
        <v>62</v>
      </c>
      <c r="Q205" s="28" t="s">
        <v>668</v>
      </c>
      <c r="R205" s="28" t="s">
        <v>966</v>
      </c>
      <c r="S205" s="28" t="s">
        <v>669</v>
      </c>
      <c r="T205" s="28" t="s">
        <v>66</v>
      </c>
      <c r="U205" s="28" t="s">
        <v>670</v>
      </c>
      <c r="V205" s="28" t="s">
        <v>1167</v>
      </c>
      <c r="W205" s="28" t="s">
        <v>68</v>
      </c>
      <c r="X205" s="28">
        <v>41.9</v>
      </c>
      <c r="Y205" s="28">
        <v>12.483333</v>
      </c>
      <c r="Z205" s="32" t="s">
        <v>69</v>
      </c>
      <c r="AA205" s="28">
        <v>36625</v>
      </c>
      <c r="AB205" s="28" t="str">
        <f t="shared" si="49"/>
        <v>41.9/12.483333</v>
      </c>
      <c r="AC205" s="33" t="s">
        <v>1473</v>
      </c>
      <c r="AD205" s="29">
        <v>46054</v>
      </c>
      <c r="AE205" s="32" t="s">
        <v>70</v>
      </c>
      <c r="AF205" s="32" t="s">
        <v>71</v>
      </c>
      <c r="AG205" s="32" t="s">
        <v>72</v>
      </c>
      <c r="AH205" s="28" t="str">
        <f t="shared" si="47"/>
        <v>Europa | Italy | Lazio | Rome</v>
      </c>
      <c r="AI205" s="28" t="s">
        <v>73</v>
      </c>
      <c r="AJ205" s="28"/>
      <c r="AK205" s="28" t="s">
        <v>74</v>
      </c>
      <c r="AL205" s="28" t="str">
        <f t="shared" si="50"/>
        <v>ITA</v>
      </c>
      <c r="AM205" s="28" t="s">
        <v>75</v>
      </c>
      <c r="AN205" s="28" t="s">
        <v>153</v>
      </c>
      <c r="AO205" s="28" t="s">
        <v>57</v>
      </c>
      <c r="AP205" s="28" t="s">
        <v>77</v>
      </c>
      <c r="AQ205" s="28" t="s">
        <v>78</v>
      </c>
      <c r="AR205" s="28" t="s">
        <v>79</v>
      </c>
      <c r="AS205" s="28" t="s">
        <v>1375</v>
      </c>
      <c r="AT205" s="28"/>
      <c r="AU205" s="28" t="s">
        <v>667</v>
      </c>
      <c r="AV205" s="28">
        <v>1</v>
      </c>
      <c r="AW205" s="28">
        <v>1</v>
      </c>
      <c r="AX205" s="28" t="s">
        <v>81</v>
      </c>
      <c r="AY205" s="28" t="s">
        <v>82</v>
      </c>
      <c r="AZ205" s="28" t="s">
        <v>83</v>
      </c>
      <c r="BA205" s="28" t="s">
        <v>84</v>
      </c>
      <c r="BB205" s="28"/>
      <c r="BC205" s="27" t="s">
        <v>1891</v>
      </c>
      <c r="BD205" s="27" t="s">
        <v>1892</v>
      </c>
      <c r="BE205" s="28"/>
    </row>
    <row r="206" spans="1:57" s="33" customFormat="1" x14ac:dyDescent="0.25">
      <c r="A206" s="12" t="s">
        <v>667</v>
      </c>
      <c r="B206" s="28" t="s">
        <v>57</v>
      </c>
      <c r="C206" s="28">
        <v>1978</v>
      </c>
      <c r="D206" s="28"/>
      <c r="E206" s="30"/>
      <c r="F206" s="28">
        <f t="shared" si="42"/>
        <v>1978</v>
      </c>
      <c r="G206" s="28"/>
      <c r="H206" s="28"/>
      <c r="I206" s="31">
        <f t="shared" si="48"/>
        <v>1978</v>
      </c>
      <c r="J206" s="28" t="s">
        <v>58</v>
      </c>
      <c r="K206" s="28" t="str">
        <f t="shared" si="45"/>
        <v>Alauda arvensis (Linnaeus, 1758)</v>
      </c>
      <c r="L206" s="28" t="str">
        <f t="shared" si="46"/>
        <v>Animalia|Chordata|Aves|Passeriformes|Aegithalidae|Alauda</v>
      </c>
      <c r="M206" s="28" t="s">
        <v>59</v>
      </c>
      <c r="N206" s="28" t="s">
        <v>60</v>
      </c>
      <c r="O206" s="28" t="s">
        <v>61</v>
      </c>
      <c r="P206" s="28" t="s">
        <v>62</v>
      </c>
      <c r="Q206" s="28" t="s">
        <v>672</v>
      </c>
      <c r="R206" s="28" t="s">
        <v>967</v>
      </c>
      <c r="S206" s="28" t="s">
        <v>673</v>
      </c>
      <c r="T206" s="28" t="s">
        <v>66</v>
      </c>
      <c r="U206" s="28" t="s">
        <v>674</v>
      </c>
      <c r="V206" s="28" t="s">
        <v>1167</v>
      </c>
      <c r="W206" s="28" t="s">
        <v>68</v>
      </c>
      <c r="X206" s="28">
        <v>41</v>
      </c>
      <c r="Y206" s="28">
        <v>12</v>
      </c>
      <c r="Z206" s="32" t="s">
        <v>69</v>
      </c>
      <c r="AA206" s="28">
        <v>100000</v>
      </c>
      <c r="AB206" s="28" t="str">
        <f t="shared" si="49"/>
        <v>41/12</v>
      </c>
      <c r="AC206" s="33" t="s">
        <v>1473</v>
      </c>
      <c r="AD206" s="29">
        <v>46054</v>
      </c>
      <c r="AE206" s="32" t="s">
        <v>70</v>
      </c>
      <c r="AF206" s="32" t="s">
        <v>71</v>
      </c>
      <c r="AG206" s="32" t="s">
        <v>72</v>
      </c>
      <c r="AH206" s="28" t="str">
        <f t="shared" si="47"/>
        <v>Europa | Italy | Lazio</v>
      </c>
      <c r="AI206" s="28" t="s">
        <v>73</v>
      </c>
      <c r="AJ206" s="28"/>
      <c r="AK206" s="28" t="s">
        <v>74</v>
      </c>
      <c r="AL206" s="28" t="str">
        <f t="shared" si="50"/>
        <v>ITA</v>
      </c>
      <c r="AM206" s="28" t="s">
        <v>75</v>
      </c>
      <c r="AN206" s="28"/>
      <c r="AO206" s="28" t="s">
        <v>57</v>
      </c>
      <c r="AP206" s="28" t="s">
        <v>77</v>
      </c>
      <c r="AQ206" s="28" t="s">
        <v>78</v>
      </c>
      <c r="AR206" s="28" t="s">
        <v>79</v>
      </c>
      <c r="AS206" s="28" t="s">
        <v>1376</v>
      </c>
      <c r="AT206" s="28"/>
      <c r="AU206" s="28" t="s">
        <v>671</v>
      </c>
      <c r="AV206" s="28">
        <v>1</v>
      </c>
      <c r="AW206" s="28">
        <v>1</v>
      </c>
      <c r="AX206" s="28" t="s">
        <v>81</v>
      </c>
      <c r="AY206" s="28" t="s">
        <v>82</v>
      </c>
      <c r="AZ206" s="28" t="s">
        <v>83</v>
      </c>
      <c r="BA206" s="28" t="s">
        <v>84</v>
      </c>
      <c r="BB206" s="28"/>
      <c r="BC206" s="27" t="s">
        <v>1893</v>
      </c>
      <c r="BD206" s="27" t="s">
        <v>1894</v>
      </c>
      <c r="BE206" s="28"/>
    </row>
    <row r="207" spans="1:57" s="33" customFormat="1" x14ac:dyDescent="0.25">
      <c r="A207" s="12" t="s">
        <v>671</v>
      </c>
      <c r="B207" s="28" t="s">
        <v>57</v>
      </c>
      <c r="C207" s="28">
        <v>1920</v>
      </c>
      <c r="D207" s="28"/>
      <c r="E207" s="30"/>
      <c r="F207" s="28">
        <f t="shared" si="42"/>
        <v>1920</v>
      </c>
      <c r="G207" s="28"/>
      <c r="H207" s="28"/>
      <c r="I207" s="31">
        <f t="shared" si="48"/>
        <v>1920</v>
      </c>
      <c r="J207" s="28" t="s">
        <v>58</v>
      </c>
      <c r="K207" s="28" t="str">
        <f t="shared" si="45"/>
        <v>Alauda arvensis (Linnaeus, 1758)</v>
      </c>
      <c r="L207" s="28" t="str">
        <f t="shared" si="46"/>
        <v>Animalia|Chordata|Aves|Passeriformes|Aegithalidae|Alauda</v>
      </c>
      <c r="M207" s="28" t="s">
        <v>59</v>
      </c>
      <c r="N207" s="28" t="s">
        <v>60</v>
      </c>
      <c r="O207" s="28" t="s">
        <v>61</v>
      </c>
      <c r="P207" s="28" t="s">
        <v>62</v>
      </c>
      <c r="Q207" s="28" t="s">
        <v>672</v>
      </c>
      <c r="R207" s="28" t="s">
        <v>967</v>
      </c>
      <c r="S207" s="28" t="s">
        <v>673</v>
      </c>
      <c r="T207" s="28" t="s">
        <v>66</v>
      </c>
      <c r="U207" s="28" t="s">
        <v>674</v>
      </c>
      <c r="V207" s="28"/>
      <c r="W207" s="28" t="s">
        <v>68</v>
      </c>
      <c r="X207" s="28">
        <v>41.9</v>
      </c>
      <c r="Y207" s="28">
        <v>12.483333</v>
      </c>
      <c r="Z207" s="32" t="s">
        <v>69</v>
      </c>
      <c r="AA207" s="28">
        <v>36625</v>
      </c>
      <c r="AB207" s="28" t="str">
        <f t="shared" si="49"/>
        <v>41.9/12.483333</v>
      </c>
      <c r="AC207" s="33" t="s">
        <v>1473</v>
      </c>
      <c r="AD207" s="29">
        <v>46054</v>
      </c>
      <c r="AE207" s="32" t="s">
        <v>70</v>
      </c>
      <c r="AF207" s="32" t="s">
        <v>71</v>
      </c>
      <c r="AG207" s="32" t="s">
        <v>72</v>
      </c>
      <c r="AH207" s="28" t="str">
        <f t="shared" si="47"/>
        <v>Europa | Italy | Lazio | Ager Romanus</v>
      </c>
      <c r="AI207" s="28" t="s">
        <v>73</v>
      </c>
      <c r="AJ207" s="28"/>
      <c r="AK207" s="28" t="s">
        <v>74</v>
      </c>
      <c r="AL207" s="28" t="str">
        <f t="shared" si="50"/>
        <v>ITA</v>
      </c>
      <c r="AM207" s="28" t="s">
        <v>75</v>
      </c>
      <c r="AN207" s="28" t="s">
        <v>166</v>
      </c>
      <c r="AO207" s="28" t="s">
        <v>57</v>
      </c>
      <c r="AP207" s="28" t="s">
        <v>77</v>
      </c>
      <c r="AQ207" s="28" t="s">
        <v>78</v>
      </c>
      <c r="AR207" s="28" t="s">
        <v>79</v>
      </c>
      <c r="AS207" s="28" t="s">
        <v>1377</v>
      </c>
      <c r="AT207" s="28"/>
      <c r="AU207" s="28" t="s">
        <v>675</v>
      </c>
      <c r="AV207" s="28">
        <v>1</v>
      </c>
      <c r="AW207" s="28">
        <v>1</v>
      </c>
      <c r="AX207" s="28" t="s">
        <v>81</v>
      </c>
      <c r="AY207" s="28" t="s">
        <v>82</v>
      </c>
      <c r="AZ207" s="28" t="s">
        <v>83</v>
      </c>
      <c r="BA207" s="28" t="s">
        <v>84</v>
      </c>
      <c r="BB207" s="28"/>
      <c r="BC207" s="27" t="s">
        <v>1895</v>
      </c>
      <c r="BD207" s="27" t="s">
        <v>1896</v>
      </c>
      <c r="BE207" s="28"/>
    </row>
    <row r="208" spans="1:57" x14ac:dyDescent="0.25">
      <c r="A208" s="12" t="s">
        <v>675</v>
      </c>
      <c r="B208" s="12" t="s">
        <v>57</v>
      </c>
      <c r="C208" s="25">
        <v>21799</v>
      </c>
      <c r="D208" s="12">
        <f t="shared" si="40"/>
        <v>249</v>
      </c>
      <c r="E208" s="23">
        <f t="shared" si="41"/>
        <v>249</v>
      </c>
      <c r="F208" s="12">
        <f t="shared" si="42"/>
        <v>1959</v>
      </c>
      <c r="G208" s="12">
        <f t="shared" si="43"/>
        <v>9</v>
      </c>
      <c r="H208" s="12">
        <f t="shared" si="44"/>
        <v>6</v>
      </c>
      <c r="I208" s="24">
        <f t="shared" si="48"/>
        <v>21799</v>
      </c>
      <c r="J208" s="12" t="s">
        <v>58</v>
      </c>
      <c r="K208" s="12" t="str">
        <f t="shared" si="45"/>
        <v>Jynx torquilla (Linnaeus, 1758)</v>
      </c>
      <c r="L208" s="12" t="str">
        <f t="shared" si="46"/>
        <v>Animalia|Chordata|Aves|Piciformes|Picidae|Jynx</v>
      </c>
      <c r="M208" s="12" t="s">
        <v>59</v>
      </c>
      <c r="N208" s="12" t="s">
        <v>60</v>
      </c>
      <c r="O208" s="12" t="s">
        <v>61</v>
      </c>
      <c r="P208" s="12" t="s">
        <v>125</v>
      </c>
      <c r="Q208" s="12" t="s">
        <v>162</v>
      </c>
      <c r="R208" s="12" t="s">
        <v>886</v>
      </c>
      <c r="S208" s="12" t="s">
        <v>171</v>
      </c>
      <c r="T208" s="12" t="s">
        <v>66</v>
      </c>
      <c r="U208" s="12" t="s">
        <v>172</v>
      </c>
      <c r="V208" s="12" t="s">
        <v>1165</v>
      </c>
      <c r="W208" s="12" t="s">
        <v>68</v>
      </c>
      <c r="X208" s="12">
        <v>44.33014</v>
      </c>
      <c r="Y208" s="12">
        <v>7.4859239999999998</v>
      </c>
      <c r="Z208" s="14" t="s">
        <v>69</v>
      </c>
      <c r="AA208" s="12">
        <v>1929</v>
      </c>
      <c r="AB208" s="12" t="str">
        <f t="shared" si="49"/>
        <v>44.33014/7.485924</v>
      </c>
      <c r="AC208" s="13" t="s">
        <v>1473</v>
      </c>
      <c r="AD208" s="25">
        <v>46054</v>
      </c>
      <c r="AE208" s="14" t="s">
        <v>70</v>
      </c>
      <c r="AF208" s="14" t="s">
        <v>71</v>
      </c>
      <c r="AG208" s="14" t="s">
        <v>72</v>
      </c>
      <c r="AH208" s="12" t="str">
        <f t="shared" si="47"/>
        <v>Europa | Italy | Piedmont | Borgo San Dalmazzo</v>
      </c>
      <c r="AI208" s="12" t="s">
        <v>73</v>
      </c>
      <c r="AJ208" s="12"/>
      <c r="AK208" s="12" t="s">
        <v>74</v>
      </c>
      <c r="AL208" s="12" t="str">
        <f t="shared" si="50"/>
        <v>ITA</v>
      </c>
      <c r="AM208" s="12" t="s">
        <v>90</v>
      </c>
      <c r="AN208" s="12" t="s">
        <v>160</v>
      </c>
      <c r="AO208" s="12" t="s">
        <v>57</v>
      </c>
      <c r="AP208" s="12" t="s">
        <v>77</v>
      </c>
      <c r="AQ208" s="12" t="s">
        <v>78</v>
      </c>
      <c r="AR208" s="12" t="s">
        <v>79</v>
      </c>
      <c r="AS208" s="12" t="s">
        <v>1378</v>
      </c>
      <c r="AT208" s="12" t="s">
        <v>80</v>
      </c>
      <c r="AU208" s="12" t="s">
        <v>676</v>
      </c>
      <c r="AV208" s="12">
        <v>1</v>
      </c>
      <c r="AW208" s="12">
        <v>1</v>
      </c>
      <c r="AX208" s="12" t="s">
        <v>81</v>
      </c>
      <c r="AY208" s="12" t="s">
        <v>82</v>
      </c>
      <c r="AZ208" s="12" t="s">
        <v>83</v>
      </c>
      <c r="BA208" s="12" t="s">
        <v>84</v>
      </c>
      <c r="BB208" s="12"/>
      <c r="BC208" s="27" t="s">
        <v>1897</v>
      </c>
      <c r="BD208" s="27" t="s">
        <v>1898</v>
      </c>
      <c r="BE208" s="12"/>
    </row>
    <row r="209" spans="1:57" x14ac:dyDescent="0.25">
      <c r="A209" s="12" t="s">
        <v>676</v>
      </c>
      <c r="B209" s="12" t="s">
        <v>57</v>
      </c>
      <c r="C209" s="12">
        <v>1982</v>
      </c>
      <c r="D209" s="12"/>
      <c r="E209" s="23"/>
      <c r="F209" s="12">
        <f t="shared" si="42"/>
        <v>1982</v>
      </c>
      <c r="G209" s="12"/>
      <c r="H209" s="12"/>
      <c r="I209" s="24">
        <f t="shared" si="48"/>
        <v>1982</v>
      </c>
      <c r="J209" s="12" t="s">
        <v>58</v>
      </c>
      <c r="K209" s="12" t="str">
        <f t="shared" si="45"/>
        <v>Picus viridis (Linnaeus, 1758)</v>
      </c>
      <c r="L209" s="12" t="str">
        <f t="shared" si="46"/>
        <v>Animalia|Chordata|Aves|Piciformes|Picidae|Picus</v>
      </c>
      <c r="M209" s="12" t="s">
        <v>59</v>
      </c>
      <c r="N209" s="12" t="s">
        <v>60</v>
      </c>
      <c r="O209" s="12" t="s">
        <v>61</v>
      </c>
      <c r="P209" s="12" t="s">
        <v>125</v>
      </c>
      <c r="Q209" s="12" t="s">
        <v>162</v>
      </c>
      <c r="R209" s="12" t="s">
        <v>885</v>
      </c>
      <c r="S209" s="12" t="s">
        <v>168</v>
      </c>
      <c r="T209" s="12" t="s">
        <v>66</v>
      </c>
      <c r="U209" s="12" t="s">
        <v>169</v>
      </c>
      <c r="V209" s="12" t="s">
        <v>1169</v>
      </c>
      <c r="W209" s="12" t="s">
        <v>68</v>
      </c>
      <c r="X209" s="19">
        <v>41.9</v>
      </c>
      <c r="Y209" s="19">
        <v>12.483333</v>
      </c>
      <c r="Z209" s="26" t="s">
        <v>69</v>
      </c>
      <c r="AA209" s="19">
        <v>36625</v>
      </c>
      <c r="AB209" s="12" t="str">
        <f t="shared" si="49"/>
        <v>41.9/12.483333</v>
      </c>
      <c r="AC209" s="13" t="s">
        <v>1473</v>
      </c>
      <c r="AD209" s="25">
        <v>46054</v>
      </c>
      <c r="AE209" s="14" t="s">
        <v>70</v>
      </c>
      <c r="AF209" s="14" t="s">
        <v>71</v>
      </c>
      <c r="AG209" s="14" t="s">
        <v>72</v>
      </c>
      <c r="AH209" s="12" t="str">
        <f t="shared" si="47"/>
        <v>Europa | Italy | Lazio | Rome</v>
      </c>
      <c r="AI209" s="12" t="s">
        <v>73</v>
      </c>
      <c r="AJ209" s="12"/>
      <c r="AK209" s="12" t="s">
        <v>74</v>
      </c>
      <c r="AL209" s="12" t="str">
        <f t="shared" si="50"/>
        <v>ITA</v>
      </c>
      <c r="AM209" s="12" t="s">
        <v>75</v>
      </c>
      <c r="AN209" s="12" t="s">
        <v>153</v>
      </c>
      <c r="AO209" s="12" t="s">
        <v>57</v>
      </c>
      <c r="AP209" s="12" t="s">
        <v>77</v>
      </c>
      <c r="AQ209" s="12" t="s">
        <v>78</v>
      </c>
      <c r="AR209" s="12" t="s">
        <v>79</v>
      </c>
      <c r="AS209" s="12" t="s">
        <v>1379</v>
      </c>
      <c r="AT209" s="12" t="s">
        <v>92</v>
      </c>
      <c r="AU209" s="12" t="s">
        <v>677</v>
      </c>
      <c r="AV209" s="12">
        <v>1</v>
      </c>
      <c r="AW209" s="12">
        <v>1</v>
      </c>
      <c r="AX209" s="12" t="s">
        <v>81</v>
      </c>
      <c r="AY209" s="12" t="s">
        <v>82</v>
      </c>
      <c r="AZ209" s="12" t="s">
        <v>83</v>
      </c>
      <c r="BA209" s="12" t="s">
        <v>84</v>
      </c>
      <c r="BB209" s="12"/>
      <c r="BC209" s="27" t="s">
        <v>1899</v>
      </c>
      <c r="BD209" s="27" t="s">
        <v>1900</v>
      </c>
      <c r="BE209" s="12"/>
    </row>
    <row r="210" spans="1:57" x14ac:dyDescent="0.25">
      <c r="A210" s="12" t="s">
        <v>677</v>
      </c>
      <c r="B210" s="12" t="s">
        <v>57</v>
      </c>
      <c r="C210" s="25">
        <v>20687</v>
      </c>
      <c r="D210" s="12">
        <f t="shared" si="40"/>
        <v>233</v>
      </c>
      <c r="E210" s="23">
        <f t="shared" si="41"/>
        <v>233</v>
      </c>
      <c r="F210" s="12">
        <f t="shared" si="42"/>
        <v>1956</v>
      </c>
      <c r="G210" s="12">
        <f t="shared" si="43"/>
        <v>8</v>
      </c>
      <c r="H210" s="12">
        <f t="shared" si="44"/>
        <v>20</v>
      </c>
      <c r="I210" s="24">
        <f t="shared" si="48"/>
        <v>20687</v>
      </c>
      <c r="J210" s="12" t="s">
        <v>58</v>
      </c>
      <c r="K210" s="12" t="str">
        <f t="shared" si="45"/>
        <v>Jynx torquilla (Linnaeus, 1758)</v>
      </c>
      <c r="L210" s="12" t="str">
        <f t="shared" si="46"/>
        <v>Animalia|Chordata|Aves|Piciformes|Picidae|Jynx</v>
      </c>
      <c r="M210" s="12" t="s">
        <v>59</v>
      </c>
      <c r="N210" s="12" t="s">
        <v>60</v>
      </c>
      <c r="O210" s="12" t="s">
        <v>61</v>
      </c>
      <c r="P210" s="12" t="s">
        <v>125</v>
      </c>
      <c r="Q210" s="12" t="s">
        <v>162</v>
      </c>
      <c r="R210" s="12" t="s">
        <v>886</v>
      </c>
      <c r="S210" s="12" t="s">
        <v>171</v>
      </c>
      <c r="T210" s="12" t="s">
        <v>66</v>
      </c>
      <c r="U210" s="12" t="s">
        <v>172</v>
      </c>
      <c r="V210" s="12" t="s">
        <v>1165</v>
      </c>
      <c r="W210" s="12" t="s">
        <v>68</v>
      </c>
      <c r="X210" s="12">
        <v>44.442875000000001</v>
      </c>
      <c r="Y210" s="12">
        <v>7.6376629999999999</v>
      </c>
      <c r="Z210" s="14" t="s">
        <v>69</v>
      </c>
      <c r="AA210" s="12">
        <v>2055</v>
      </c>
      <c r="AB210" s="12" t="str">
        <f t="shared" si="49"/>
        <v>44.442875/7.637663</v>
      </c>
      <c r="AC210" s="13" t="s">
        <v>1473</v>
      </c>
      <c r="AD210" s="25">
        <v>46054</v>
      </c>
      <c r="AE210" s="14" t="s">
        <v>70</v>
      </c>
      <c r="AF210" s="14" t="s">
        <v>71</v>
      </c>
      <c r="AG210" s="14" t="s">
        <v>72</v>
      </c>
      <c r="AH210" s="12" t="str">
        <f t="shared" si="47"/>
        <v>Europa | Italy | Piedmont | Castelletto Stura</v>
      </c>
      <c r="AI210" s="12" t="s">
        <v>73</v>
      </c>
      <c r="AJ210" s="12"/>
      <c r="AK210" s="12" t="s">
        <v>74</v>
      </c>
      <c r="AL210" s="12" t="str">
        <f t="shared" si="50"/>
        <v>ITA</v>
      </c>
      <c r="AM210" s="12" t="s">
        <v>90</v>
      </c>
      <c r="AN210" s="12" t="s">
        <v>679</v>
      </c>
      <c r="AO210" s="12" t="s">
        <v>57</v>
      </c>
      <c r="AP210" s="12" t="s">
        <v>77</v>
      </c>
      <c r="AQ210" s="12" t="s">
        <v>78</v>
      </c>
      <c r="AR210" s="12" t="s">
        <v>79</v>
      </c>
      <c r="AS210" s="12" t="s">
        <v>1380</v>
      </c>
      <c r="AT210" s="12" t="s">
        <v>92</v>
      </c>
      <c r="AU210" s="12" t="s">
        <v>678</v>
      </c>
      <c r="AV210" s="12">
        <v>1</v>
      </c>
      <c r="AW210" s="12">
        <v>1</v>
      </c>
      <c r="AX210" s="12" t="s">
        <v>81</v>
      </c>
      <c r="AY210" s="12" t="s">
        <v>82</v>
      </c>
      <c r="AZ210" s="12" t="s">
        <v>83</v>
      </c>
      <c r="BA210" s="12" t="s">
        <v>84</v>
      </c>
      <c r="BB210" s="12"/>
      <c r="BC210" s="27" t="s">
        <v>1901</v>
      </c>
      <c r="BD210" s="27" t="s">
        <v>1902</v>
      </c>
      <c r="BE210" s="12"/>
    </row>
    <row r="211" spans="1:57" x14ac:dyDescent="0.25">
      <c r="A211" s="12" t="s">
        <v>678</v>
      </c>
      <c r="B211" s="12" t="s">
        <v>57</v>
      </c>
      <c r="C211" s="25">
        <v>20538</v>
      </c>
      <c r="D211" s="12">
        <f t="shared" si="40"/>
        <v>84</v>
      </c>
      <c r="E211" s="23">
        <f t="shared" si="41"/>
        <v>84</v>
      </c>
      <c r="F211" s="12">
        <f t="shared" si="42"/>
        <v>1956</v>
      </c>
      <c r="G211" s="12">
        <f t="shared" si="43"/>
        <v>3</v>
      </c>
      <c r="H211" s="12">
        <f t="shared" si="44"/>
        <v>24</v>
      </c>
      <c r="I211" s="24">
        <f t="shared" si="48"/>
        <v>20538</v>
      </c>
      <c r="J211" s="12" t="s">
        <v>58</v>
      </c>
      <c r="K211" s="12" t="str">
        <f t="shared" si="45"/>
        <v>Dryobates minor (Linnaeus, 1758)</v>
      </c>
      <c r="L211" s="12" t="str">
        <f t="shared" si="46"/>
        <v>Animalia|Chordata|Aves|Piciformes|Picidae|Dryobates</v>
      </c>
      <c r="M211" s="12" t="s">
        <v>59</v>
      </c>
      <c r="N211" s="12" t="s">
        <v>60</v>
      </c>
      <c r="O211" s="12" t="s">
        <v>61</v>
      </c>
      <c r="P211" s="12" t="s">
        <v>125</v>
      </c>
      <c r="Q211" s="12" t="s">
        <v>162</v>
      </c>
      <c r="R211" s="12" t="s">
        <v>1470</v>
      </c>
      <c r="S211" s="12" t="s">
        <v>1469</v>
      </c>
      <c r="T211" s="12" t="s">
        <v>66</v>
      </c>
      <c r="U211" s="12" t="s">
        <v>681</v>
      </c>
      <c r="V211" s="12" t="s">
        <v>1165</v>
      </c>
      <c r="W211" s="12" t="s">
        <v>68</v>
      </c>
      <c r="X211" s="12">
        <v>44.389569999999999</v>
      </c>
      <c r="Y211" s="12">
        <v>7.513522</v>
      </c>
      <c r="Z211" s="14" t="s">
        <v>69</v>
      </c>
      <c r="AA211" s="12">
        <v>2568</v>
      </c>
      <c r="AB211" s="12" t="str">
        <f t="shared" si="49"/>
        <v>44.38957/7.513522</v>
      </c>
      <c r="AC211" s="13" t="s">
        <v>1473</v>
      </c>
      <c r="AD211" s="25">
        <v>46054</v>
      </c>
      <c r="AE211" s="14" t="s">
        <v>70</v>
      </c>
      <c r="AF211" s="14" t="s">
        <v>71</v>
      </c>
      <c r="AG211" s="14" t="s">
        <v>72</v>
      </c>
      <c r="AH211" s="12" t="str">
        <f t="shared" si="47"/>
        <v>Europa | Italy | Piedmont | Confreria</v>
      </c>
      <c r="AI211" s="12" t="s">
        <v>73</v>
      </c>
      <c r="AJ211" s="12"/>
      <c r="AK211" s="12" t="s">
        <v>74</v>
      </c>
      <c r="AL211" s="12" t="str">
        <f t="shared" si="50"/>
        <v>ITA</v>
      </c>
      <c r="AM211" s="12" t="s">
        <v>90</v>
      </c>
      <c r="AN211" s="12" t="s">
        <v>589</v>
      </c>
      <c r="AO211" s="12" t="s">
        <v>57</v>
      </c>
      <c r="AP211" s="12" t="s">
        <v>77</v>
      </c>
      <c r="AQ211" s="12" t="s">
        <v>78</v>
      </c>
      <c r="AR211" s="12" t="s">
        <v>79</v>
      </c>
      <c r="AS211" s="12" t="s">
        <v>1381</v>
      </c>
      <c r="AT211" s="12" t="s">
        <v>80</v>
      </c>
      <c r="AU211" s="12" t="s">
        <v>680</v>
      </c>
      <c r="AV211" s="12">
        <v>1</v>
      </c>
      <c r="AW211" s="12">
        <v>1</v>
      </c>
      <c r="AX211" s="12" t="s">
        <v>81</v>
      </c>
      <c r="AY211" s="12" t="s">
        <v>82</v>
      </c>
      <c r="AZ211" s="12" t="s">
        <v>83</v>
      </c>
      <c r="BA211" s="12" t="s">
        <v>84</v>
      </c>
      <c r="BB211" s="12"/>
      <c r="BC211" s="27" t="s">
        <v>1903</v>
      </c>
      <c r="BD211" s="27" t="s">
        <v>1904</v>
      </c>
      <c r="BE211" s="12"/>
    </row>
    <row r="212" spans="1:57" x14ac:dyDescent="0.25">
      <c r="A212" s="12" t="s">
        <v>680</v>
      </c>
      <c r="B212" s="12" t="s">
        <v>57</v>
      </c>
      <c r="C212" s="25">
        <v>21290</v>
      </c>
      <c r="D212" s="12">
        <f t="shared" si="40"/>
        <v>105</v>
      </c>
      <c r="E212" s="23">
        <f t="shared" si="41"/>
        <v>105</v>
      </c>
      <c r="F212" s="12">
        <f t="shared" si="42"/>
        <v>1958</v>
      </c>
      <c r="G212" s="12">
        <f t="shared" si="43"/>
        <v>4</v>
      </c>
      <c r="H212" s="12">
        <f t="shared" si="44"/>
        <v>15</v>
      </c>
      <c r="I212" s="24">
        <f t="shared" si="48"/>
        <v>21290</v>
      </c>
      <c r="J212" s="12" t="s">
        <v>58</v>
      </c>
      <c r="K212" s="12" t="str">
        <f t="shared" si="45"/>
        <v>Jynx torquilla (Linnaeus, 1758)</v>
      </c>
      <c r="L212" s="12" t="str">
        <f t="shared" si="46"/>
        <v>Animalia|Chordata|Aves|Piciformes|Picidae|Jynx</v>
      </c>
      <c r="M212" s="12" t="s">
        <v>59</v>
      </c>
      <c r="N212" s="12" t="s">
        <v>60</v>
      </c>
      <c r="O212" s="12" t="s">
        <v>61</v>
      </c>
      <c r="P212" s="12" t="s">
        <v>125</v>
      </c>
      <c r="Q212" s="12" t="s">
        <v>162</v>
      </c>
      <c r="R212" s="12" t="s">
        <v>886</v>
      </c>
      <c r="S212" s="12" t="s">
        <v>171</v>
      </c>
      <c r="T212" s="12" t="s">
        <v>66</v>
      </c>
      <c r="U212" s="12" t="s">
        <v>172</v>
      </c>
      <c r="V212" s="12" t="s">
        <v>1165</v>
      </c>
      <c r="W212" s="12" t="s">
        <v>68</v>
      </c>
      <c r="X212" s="12">
        <v>44.333306999999998</v>
      </c>
      <c r="Y212" s="12">
        <v>7.5400010000000002</v>
      </c>
      <c r="Z212" s="14" t="s">
        <v>69</v>
      </c>
      <c r="AA212" s="12">
        <v>464</v>
      </c>
      <c r="AB212" s="12" t="str">
        <f t="shared" si="49"/>
        <v>44.333307/7.540001</v>
      </c>
      <c r="AC212" s="13" t="s">
        <v>1473</v>
      </c>
      <c r="AD212" s="25">
        <v>46054</v>
      </c>
      <c r="AE212" s="14" t="s">
        <v>70</v>
      </c>
      <c r="AF212" s="14" t="s">
        <v>71</v>
      </c>
      <c r="AG212" s="14" t="s">
        <v>72</v>
      </c>
      <c r="AH212" s="12" t="str">
        <f t="shared" si="47"/>
        <v>Europa | Italy | Piedmont | Fontanelle di Boves</v>
      </c>
      <c r="AI212" s="12" t="s">
        <v>73</v>
      </c>
      <c r="AJ212" s="12"/>
      <c r="AK212" s="12" t="s">
        <v>74</v>
      </c>
      <c r="AL212" s="12" t="str">
        <f t="shared" si="50"/>
        <v>ITA</v>
      </c>
      <c r="AM212" s="12" t="s">
        <v>90</v>
      </c>
      <c r="AN212" s="12" t="s">
        <v>683</v>
      </c>
      <c r="AO212" s="12" t="s">
        <v>57</v>
      </c>
      <c r="AP212" s="12" t="s">
        <v>77</v>
      </c>
      <c r="AQ212" s="12" t="s">
        <v>78</v>
      </c>
      <c r="AR212" s="12" t="s">
        <v>79</v>
      </c>
      <c r="AS212" s="12" t="s">
        <v>1382</v>
      </c>
      <c r="AT212" s="12" t="s">
        <v>92</v>
      </c>
      <c r="AU212" s="12" t="s">
        <v>682</v>
      </c>
      <c r="AV212" s="12">
        <v>1</v>
      </c>
      <c r="AW212" s="12">
        <v>1</v>
      </c>
      <c r="AX212" s="12" t="s">
        <v>81</v>
      </c>
      <c r="AY212" s="12" t="s">
        <v>82</v>
      </c>
      <c r="AZ212" s="12" t="s">
        <v>83</v>
      </c>
      <c r="BA212" s="12" t="s">
        <v>84</v>
      </c>
      <c r="BB212" s="12"/>
      <c r="BC212" s="27" t="s">
        <v>1905</v>
      </c>
      <c r="BD212" s="27" t="s">
        <v>1906</v>
      </c>
      <c r="BE212" s="12"/>
    </row>
    <row r="213" spans="1:57" x14ac:dyDescent="0.25">
      <c r="A213" s="12" t="s">
        <v>682</v>
      </c>
      <c r="B213" s="12" t="s">
        <v>57</v>
      </c>
      <c r="C213" s="25">
        <v>20040</v>
      </c>
      <c r="D213" s="12">
        <f t="shared" si="40"/>
        <v>316</v>
      </c>
      <c r="E213" s="23">
        <f t="shared" si="41"/>
        <v>316</v>
      </c>
      <c r="F213" s="12">
        <f t="shared" si="42"/>
        <v>1954</v>
      </c>
      <c r="G213" s="12">
        <f t="shared" si="43"/>
        <v>11</v>
      </c>
      <c r="H213" s="12">
        <f t="shared" si="44"/>
        <v>12</v>
      </c>
      <c r="I213" s="24">
        <f t="shared" si="48"/>
        <v>20040</v>
      </c>
      <c r="J213" s="12" t="s">
        <v>58</v>
      </c>
      <c r="K213" s="12" t="str">
        <f t="shared" si="45"/>
        <v>Picus viridis (Linnaeus, 1758)</v>
      </c>
      <c r="L213" s="12" t="str">
        <f t="shared" si="46"/>
        <v>Animalia|Chordata|Aves|Piciformes|Picidae|Picus</v>
      </c>
      <c r="M213" s="12" t="s">
        <v>59</v>
      </c>
      <c r="N213" s="12" t="s">
        <v>60</v>
      </c>
      <c r="O213" s="12" t="s">
        <v>61</v>
      </c>
      <c r="P213" s="12" t="s">
        <v>125</v>
      </c>
      <c r="Q213" s="12" t="s">
        <v>162</v>
      </c>
      <c r="R213" s="12" t="s">
        <v>885</v>
      </c>
      <c r="S213" s="12" t="s">
        <v>168</v>
      </c>
      <c r="T213" s="12" t="s">
        <v>66</v>
      </c>
      <c r="U213" s="12" t="s">
        <v>169</v>
      </c>
      <c r="V213" s="12" t="s">
        <v>1165</v>
      </c>
      <c r="W213" s="12" t="s">
        <v>68</v>
      </c>
      <c r="X213" s="12">
        <v>44.33014</v>
      </c>
      <c r="Y213" s="12">
        <v>7.4859239999999998</v>
      </c>
      <c r="Z213" s="14" t="s">
        <v>69</v>
      </c>
      <c r="AA213" s="12">
        <v>1929</v>
      </c>
      <c r="AB213" s="12" t="str">
        <f t="shared" si="49"/>
        <v>44.33014/7.485924</v>
      </c>
      <c r="AC213" s="13" t="s">
        <v>1473</v>
      </c>
      <c r="AD213" s="25">
        <v>46054</v>
      </c>
      <c r="AE213" s="14" t="s">
        <v>70</v>
      </c>
      <c r="AF213" s="14" t="s">
        <v>71</v>
      </c>
      <c r="AG213" s="14" t="s">
        <v>72</v>
      </c>
      <c r="AH213" s="12" t="str">
        <f t="shared" si="47"/>
        <v>Europa | Italy | Piedmont | Borgo San Dalmazzo</v>
      </c>
      <c r="AI213" s="12" t="s">
        <v>73</v>
      </c>
      <c r="AJ213" s="12"/>
      <c r="AK213" s="12" t="s">
        <v>74</v>
      </c>
      <c r="AL213" s="12" t="str">
        <f t="shared" si="50"/>
        <v>ITA</v>
      </c>
      <c r="AM213" s="12" t="s">
        <v>90</v>
      </c>
      <c r="AN213" s="12" t="s">
        <v>160</v>
      </c>
      <c r="AO213" s="12" t="s">
        <v>57</v>
      </c>
      <c r="AP213" s="12" t="s">
        <v>77</v>
      </c>
      <c r="AQ213" s="12" t="s">
        <v>78</v>
      </c>
      <c r="AR213" s="12" t="s">
        <v>79</v>
      </c>
      <c r="AS213" s="12" t="s">
        <v>1383</v>
      </c>
      <c r="AT213" s="12" t="s">
        <v>80</v>
      </c>
      <c r="AU213" s="12" t="s">
        <v>684</v>
      </c>
      <c r="AV213" s="12">
        <v>1</v>
      </c>
      <c r="AW213" s="12">
        <v>1</v>
      </c>
      <c r="AX213" s="12" t="s">
        <v>81</v>
      </c>
      <c r="AY213" s="12" t="s">
        <v>82</v>
      </c>
      <c r="AZ213" s="12" t="s">
        <v>83</v>
      </c>
      <c r="BA213" s="12" t="s">
        <v>84</v>
      </c>
      <c r="BB213" s="12"/>
      <c r="BC213" s="27" t="s">
        <v>1907</v>
      </c>
      <c r="BD213" s="27" t="s">
        <v>1908</v>
      </c>
      <c r="BE213" s="12"/>
    </row>
    <row r="214" spans="1:57" x14ac:dyDescent="0.25">
      <c r="A214" s="12" t="s">
        <v>684</v>
      </c>
      <c r="B214" s="12" t="s">
        <v>57</v>
      </c>
      <c r="C214" s="12">
        <v>1920</v>
      </c>
      <c r="D214" s="12"/>
      <c r="E214" s="23"/>
      <c r="F214" s="12">
        <f t="shared" si="42"/>
        <v>1920</v>
      </c>
      <c r="G214" s="12"/>
      <c r="H214" s="12"/>
      <c r="I214" s="24">
        <f t="shared" si="48"/>
        <v>1920</v>
      </c>
      <c r="J214" s="12" t="s">
        <v>58</v>
      </c>
      <c r="K214" s="12" t="str">
        <f t="shared" si="45"/>
        <v>Dendrocopos major (Linnaeus, 1758)</v>
      </c>
      <c r="L214" s="12" t="str">
        <f t="shared" si="46"/>
        <v>Animalia|Chordata|Aves|Piciformes|Picidae|Dendrocopos</v>
      </c>
      <c r="M214" s="12" t="s">
        <v>59</v>
      </c>
      <c r="N214" s="12" t="s">
        <v>60</v>
      </c>
      <c r="O214" s="12" t="s">
        <v>61</v>
      </c>
      <c r="P214" s="12" t="s">
        <v>125</v>
      </c>
      <c r="Q214" s="12" t="s">
        <v>162</v>
      </c>
      <c r="R214" s="12" t="s">
        <v>163</v>
      </c>
      <c r="S214" s="12" t="s">
        <v>157</v>
      </c>
      <c r="T214" s="12" t="s">
        <v>66</v>
      </c>
      <c r="U214" s="12" t="s">
        <v>164</v>
      </c>
      <c r="V214" s="12"/>
      <c r="W214" s="12" t="s">
        <v>68</v>
      </c>
      <c r="X214" s="12">
        <v>45</v>
      </c>
      <c r="Y214" s="12">
        <v>10</v>
      </c>
      <c r="Z214" s="14" t="s">
        <v>69</v>
      </c>
      <c r="AA214" s="12">
        <v>100000</v>
      </c>
      <c r="AB214" s="12" t="str">
        <f t="shared" si="49"/>
        <v>45/10</v>
      </c>
      <c r="AC214" s="13" t="s">
        <v>1473</v>
      </c>
      <c r="AD214" s="25">
        <v>46054</v>
      </c>
      <c r="AE214" s="14" t="s">
        <v>70</v>
      </c>
      <c r="AF214" s="14" t="s">
        <v>71</v>
      </c>
      <c r="AG214" s="14" t="s">
        <v>72</v>
      </c>
      <c r="AH214" s="12" t="str">
        <f t="shared" si="47"/>
        <v>Italy | Italia settentrionale</v>
      </c>
      <c r="AI214" s="12"/>
      <c r="AJ214" s="12"/>
      <c r="AK214" s="12" t="s">
        <v>74</v>
      </c>
      <c r="AL214" s="12" t="str">
        <f t="shared" si="50"/>
        <v>ITA</v>
      </c>
      <c r="AM214" s="12"/>
      <c r="AN214" s="12" t="s">
        <v>1478</v>
      </c>
      <c r="AO214" s="12" t="s">
        <v>57</v>
      </c>
      <c r="AP214" s="12" t="s">
        <v>77</v>
      </c>
      <c r="AQ214" s="12" t="s">
        <v>78</v>
      </c>
      <c r="AR214" s="12" t="s">
        <v>79</v>
      </c>
      <c r="AS214" s="12" t="s">
        <v>1384</v>
      </c>
      <c r="AT214" s="12" t="s">
        <v>92</v>
      </c>
      <c r="AU214" s="12" t="s">
        <v>685</v>
      </c>
      <c r="AV214" s="12">
        <v>1</v>
      </c>
      <c r="AW214" s="12">
        <v>1</v>
      </c>
      <c r="AX214" s="12" t="s">
        <v>81</v>
      </c>
      <c r="AY214" s="12" t="s">
        <v>82</v>
      </c>
      <c r="AZ214" s="12" t="s">
        <v>83</v>
      </c>
      <c r="BA214" s="12" t="s">
        <v>84</v>
      </c>
      <c r="BB214" s="12"/>
      <c r="BC214" s="27" t="s">
        <v>1909</v>
      </c>
      <c r="BD214" s="27" t="s">
        <v>1910</v>
      </c>
      <c r="BE214" s="12" t="s">
        <v>1481</v>
      </c>
    </row>
    <row r="215" spans="1:57" x14ac:dyDescent="0.25">
      <c r="A215" s="12" t="s">
        <v>685</v>
      </c>
      <c r="B215" s="12" t="s">
        <v>57</v>
      </c>
      <c r="C215" s="25">
        <v>21217</v>
      </c>
      <c r="D215" s="12">
        <f t="shared" si="40"/>
        <v>32</v>
      </c>
      <c r="E215" s="23">
        <f t="shared" si="41"/>
        <v>32</v>
      </c>
      <c r="F215" s="12">
        <f t="shared" si="42"/>
        <v>1958</v>
      </c>
      <c r="G215" s="12">
        <f t="shared" si="43"/>
        <v>2</v>
      </c>
      <c r="H215" s="12">
        <f t="shared" si="44"/>
        <v>1</v>
      </c>
      <c r="I215" s="24">
        <f t="shared" si="48"/>
        <v>21217</v>
      </c>
      <c r="J215" s="12" t="s">
        <v>58</v>
      </c>
      <c r="K215" s="12" t="str">
        <f t="shared" si="45"/>
        <v>Dendrocopos major (Linnaeus, 1758)</v>
      </c>
      <c r="L215" s="12" t="str">
        <f t="shared" si="46"/>
        <v>Animalia|Chordata|Aves|Piciformes|Picidae|Dendrocopos</v>
      </c>
      <c r="M215" s="12" t="s">
        <v>59</v>
      </c>
      <c r="N215" s="12" t="s">
        <v>60</v>
      </c>
      <c r="O215" s="12" t="s">
        <v>61</v>
      </c>
      <c r="P215" s="12" t="s">
        <v>125</v>
      </c>
      <c r="Q215" s="12" t="s">
        <v>162</v>
      </c>
      <c r="R215" s="12" t="s">
        <v>163</v>
      </c>
      <c r="S215" s="12" t="s">
        <v>157</v>
      </c>
      <c r="T215" s="12" t="s">
        <v>66</v>
      </c>
      <c r="U215" s="12" t="s">
        <v>164</v>
      </c>
      <c r="V215" s="12" t="s">
        <v>1165</v>
      </c>
      <c r="W215" s="12" t="s">
        <v>68</v>
      </c>
      <c r="X215" s="12">
        <v>44.334721000000002</v>
      </c>
      <c r="Y215" s="12">
        <v>7.436547</v>
      </c>
      <c r="Z215" s="14" t="s">
        <v>69</v>
      </c>
      <c r="AA215" s="12">
        <v>479</v>
      </c>
      <c r="AB215" s="12" t="str">
        <f t="shared" si="49"/>
        <v>44.334721/7.436547</v>
      </c>
      <c r="AC215" s="13" t="s">
        <v>1473</v>
      </c>
      <c r="AD215" s="25">
        <v>46054</v>
      </c>
      <c r="AE215" s="14" t="s">
        <v>70</v>
      </c>
      <c r="AF215" s="14" t="s">
        <v>71</v>
      </c>
      <c r="AG215" s="14" t="s">
        <v>72</v>
      </c>
      <c r="AH215" s="12" t="str">
        <f t="shared" si="47"/>
        <v>Europa | Italy | Piedmont | Piano Quinto</v>
      </c>
      <c r="AI215" s="12" t="s">
        <v>73</v>
      </c>
      <c r="AJ215" s="12"/>
      <c r="AK215" s="12" t="s">
        <v>74</v>
      </c>
      <c r="AL215" s="12" t="str">
        <f t="shared" si="50"/>
        <v>ITA</v>
      </c>
      <c r="AM215" s="12" t="s">
        <v>90</v>
      </c>
      <c r="AN215" s="12" t="s">
        <v>687</v>
      </c>
      <c r="AO215" s="12" t="s">
        <v>57</v>
      </c>
      <c r="AP215" s="12" t="s">
        <v>77</v>
      </c>
      <c r="AQ215" s="12" t="s">
        <v>78</v>
      </c>
      <c r="AR215" s="12" t="s">
        <v>79</v>
      </c>
      <c r="AS215" s="12" t="s">
        <v>1385</v>
      </c>
      <c r="AT215" s="12" t="s">
        <v>80</v>
      </c>
      <c r="AU215" s="12" t="s">
        <v>686</v>
      </c>
      <c r="AV215" s="12">
        <v>1</v>
      </c>
      <c r="AW215" s="12">
        <v>1</v>
      </c>
      <c r="AX215" s="12" t="s">
        <v>81</v>
      </c>
      <c r="AY215" s="12" t="s">
        <v>82</v>
      </c>
      <c r="AZ215" s="12" t="s">
        <v>83</v>
      </c>
      <c r="BA215" s="12" t="s">
        <v>84</v>
      </c>
      <c r="BB215" s="12"/>
      <c r="BC215" s="27" t="s">
        <v>1911</v>
      </c>
      <c r="BD215" s="27" t="s">
        <v>1912</v>
      </c>
      <c r="BE215" s="12"/>
    </row>
    <row r="216" spans="1:57" x14ac:dyDescent="0.25">
      <c r="A216" s="12" t="s">
        <v>686</v>
      </c>
      <c r="B216" s="12" t="s">
        <v>57</v>
      </c>
      <c r="C216" s="12">
        <v>1978</v>
      </c>
      <c r="D216" s="12"/>
      <c r="E216" s="23"/>
      <c r="F216" s="12">
        <f t="shared" si="42"/>
        <v>1978</v>
      </c>
      <c r="G216" s="12"/>
      <c r="H216" s="12"/>
      <c r="I216" s="24">
        <f t="shared" si="48"/>
        <v>1978</v>
      </c>
      <c r="J216" s="12" t="s">
        <v>58</v>
      </c>
      <c r="K216" s="12" t="str">
        <f t="shared" si="45"/>
        <v>Turdus merula (Linnaeus, 1758)</v>
      </c>
      <c r="L216" s="12" t="str">
        <f t="shared" si="46"/>
        <v>Animalia|Chordata|Aves|Passeriformes|Turdidae|Turdus</v>
      </c>
      <c r="M216" s="12" t="s">
        <v>59</v>
      </c>
      <c r="N216" s="12" t="s">
        <v>60</v>
      </c>
      <c r="O216" s="12" t="s">
        <v>61</v>
      </c>
      <c r="P216" s="12" t="s">
        <v>62</v>
      </c>
      <c r="Q216" s="12" t="s">
        <v>689</v>
      </c>
      <c r="R216" s="12" t="s">
        <v>968</v>
      </c>
      <c r="S216" s="12" t="s">
        <v>690</v>
      </c>
      <c r="T216" s="12" t="s">
        <v>66</v>
      </c>
      <c r="U216" s="12" t="s">
        <v>691</v>
      </c>
      <c r="V216" s="12" t="s">
        <v>1165</v>
      </c>
      <c r="W216" s="12" t="s">
        <v>68</v>
      </c>
      <c r="X216" s="12">
        <v>41.9</v>
      </c>
      <c r="Y216" s="12">
        <v>12.483333</v>
      </c>
      <c r="Z216" s="14" t="s">
        <v>69</v>
      </c>
      <c r="AA216" s="12">
        <v>36625</v>
      </c>
      <c r="AB216" s="12" t="str">
        <f t="shared" si="49"/>
        <v>41.9/12.483333</v>
      </c>
      <c r="AC216" s="13" t="s">
        <v>1473</v>
      </c>
      <c r="AD216" s="25">
        <v>46054</v>
      </c>
      <c r="AE216" s="14" t="s">
        <v>70</v>
      </c>
      <c r="AF216" s="14" t="s">
        <v>71</v>
      </c>
      <c r="AG216" s="14" t="s">
        <v>72</v>
      </c>
      <c r="AH216" s="12" t="str">
        <f t="shared" si="47"/>
        <v>Europa | Italy | Lazio | Rome</v>
      </c>
      <c r="AI216" s="12" t="s">
        <v>73</v>
      </c>
      <c r="AJ216" s="12"/>
      <c r="AK216" s="12" t="s">
        <v>74</v>
      </c>
      <c r="AL216" s="12" t="str">
        <f t="shared" si="50"/>
        <v>ITA</v>
      </c>
      <c r="AM216" s="12" t="s">
        <v>75</v>
      </c>
      <c r="AN216" s="12" t="s">
        <v>153</v>
      </c>
      <c r="AO216" s="12" t="s">
        <v>57</v>
      </c>
      <c r="AP216" s="12" t="s">
        <v>77</v>
      </c>
      <c r="AQ216" s="12" t="s">
        <v>78</v>
      </c>
      <c r="AR216" s="12" t="s">
        <v>79</v>
      </c>
      <c r="AS216" s="12" t="s">
        <v>1386</v>
      </c>
      <c r="AT216" s="12"/>
      <c r="AU216" s="12" t="s">
        <v>688</v>
      </c>
      <c r="AV216" s="12">
        <v>1</v>
      </c>
      <c r="AW216" s="12">
        <v>1</v>
      </c>
      <c r="AX216" s="12" t="s">
        <v>81</v>
      </c>
      <c r="AY216" s="12" t="s">
        <v>82</v>
      </c>
      <c r="AZ216" s="12" t="s">
        <v>83</v>
      </c>
      <c r="BA216" s="12" t="s">
        <v>84</v>
      </c>
      <c r="BB216" s="12"/>
      <c r="BC216" s="27" t="s">
        <v>1913</v>
      </c>
      <c r="BD216" s="27" t="s">
        <v>1914</v>
      </c>
      <c r="BE216" s="12"/>
    </row>
    <row r="217" spans="1:57" x14ac:dyDescent="0.25">
      <c r="A217" s="12" t="s">
        <v>688</v>
      </c>
      <c r="B217" s="12" t="s">
        <v>57</v>
      </c>
      <c r="C217" s="12">
        <v>1977</v>
      </c>
      <c r="D217" s="12"/>
      <c r="E217" s="23"/>
      <c r="F217" s="12">
        <f t="shared" si="42"/>
        <v>1977</v>
      </c>
      <c r="G217" s="12"/>
      <c r="H217" s="12"/>
      <c r="I217" s="24">
        <f t="shared" si="48"/>
        <v>1977</v>
      </c>
      <c r="J217" s="12" t="s">
        <v>58</v>
      </c>
      <c r="K217" s="12" t="str">
        <f t="shared" si="45"/>
        <v>Turdus torquatus (Linnaeus, 1758)</v>
      </c>
      <c r="L217" s="12" t="str">
        <f t="shared" si="46"/>
        <v>Animalia|Chordata|Aves|Passeriformes|Turdidae|Turdus</v>
      </c>
      <c r="M217" s="12" t="s">
        <v>59</v>
      </c>
      <c r="N217" s="12" t="s">
        <v>60</v>
      </c>
      <c r="O217" s="12" t="s">
        <v>61</v>
      </c>
      <c r="P217" s="12" t="s">
        <v>62</v>
      </c>
      <c r="Q217" s="12" t="s">
        <v>689</v>
      </c>
      <c r="R217" s="12" t="s">
        <v>968</v>
      </c>
      <c r="S217" s="12" t="s">
        <v>693</v>
      </c>
      <c r="T217" s="12" t="s">
        <v>66</v>
      </c>
      <c r="U217" s="12" t="s">
        <v>694</v>
      </c>
      <c r="V217" s="12"/>
      <c r="W217" s="12" t="s">
        <v>68</v>
      </c>
      <c r="X217" s="12">
        <v>41.9</v>
      </c>
      <c r="Y217" s="12">
        <v>12.483333</v>
      </c>
      <c r="Z217" s="14" t="s">
        <v>69</v>
      </c>
      <c r="AA217" s="12">
        <v>36625</v>
      </c>
      <c r="AB217" s="12" t="str">
        <f t="shared" si="49"/>
        <v>41.9/12.483333</v>
      </c>
      <c r="AC217" s="13" t="s">
        <v>1473</v>
      </c>
      <c r="AD217" s="25">
        <v>46054</v>
      </c>
      <c r="AE217" s="14" t="s">
        <v>70</v>
      </c>
      <c r="AF217" s="14" t="s">
        <v>71</v>
      </c>
      <c r="AG217" s="14" t="s">
        <v>72</v>
      </c>
      <c r="AH217" s="12" t="str">
        <f t="shared" si="47"/>
        <v>Europa | Italy | Lazio | Rome</v>
      </c>
      <c r="AI217" s="12" t="s">
        <v>73</v>
      </c>
      <c r="AJ217" s="12"/>
      <c r="AK217" s="12" t="s">
        <v>74</v>
      </c>
      <c r="AL217" s="12" t="str">
        <f t="shared" si="50"/>
        <v>ITA</v>
      </c>
      <c r="AM217" s="12" t="s">
        <v>75</v>
      </c>
      <c r="AN217" s="12" t="s">
        <v>153</v>
      </c>
      <c r="AO217" s="12" t="s">
        <v>57</v>
      </c>
      <c r="AP217" s="12" t="s">
        <v>77</v>
      </c>
      <c r="AQ217" s="12" t="s">
        <v>78</v>
      </c>
      <c r="AR217" s="12" t="s">
        <v>79</v>
      </c>
      <c r="AS217" s="12" t="s">
        <v>1387</v>
      </c>
      <c r="AT217" s="12"/>
      <c r="AU217" s="12" t="s">
        <v>692</v>
      </c>
      <c r="AV217" s="12">
        <v>1</v>
      </c>
      <c r="AW217" s="12">
        <v>1</v>
      </c>
      <c r="AX217" s="12" t="s">
        <v>81</v>
      </c>
      <c r="AY217" s="12" t="s">
        <v>82</v>
      </c>
      <c r="AZ217" s="12" t="s">
        <v>83</v>
      </c>
      <c r="BA217" s="12" t="s">
        <v>84</v>
      </c>
      <c r="BB217" s="12"/>
      <c r="BC217" s="27" t="s">
        <v>1915</v>
      </c>
      <c r="BD217" s="27" t="s">
        <v>1916</v>
      </c>
      <c r="BE217" s="12"/>
    </row>
    <row r="218" spans="1:57" x14ac:dyDescent="0.25">
      <c r="A218" s="12" t="s">
        <v>692</v>
      </c>
      <c r="B218" s="12" t="s">
        <v>57</v>
      </c>
      <c r="C218" s="25">
        <v>21134</v>
      </c>
      <c r="D218" s="12">
        <f t="shared" si="40"/>
        <v>314</v>
      </c>
      <c r="E218" s="23">
        <f t="shared" si="41"/>
        <v>314</v>
      </c>
      <c r="F218" s="12">
        <f t="shared" si="42"/>
        <v>1957</v>
      </c>
      <c r="G218" s="12">
        <f t="shared" si="43"/>
        <v>11</v>
      </c>
      <c r="H218" s="12">
        <f t="shared" si="44"/>
        <v>10</v>
      </c>
      <c r="I218" s="24">
        <f t="shared" si="48"/>
        <v>21134</v>
      </c>
      <c r="J218" s="12" t="s">
        <v>58</v>
      </c>
      <c r="K218" s="12" t="str">
        <f t="shared" si="45"/>
        <v>Turdus iliacus (Linnaeus, 1758)</v>
      </c>
      <c r="L218" s="12" t="str">
        <f t="shared" si="46"/>
        <v>Animalia|Chordata|Aves|Passeriformes|Turdidae|Turdus</v>
      </c>
      <c r="M218" s="12" t="s">
        <v>59</v>
      </c>
      <c r="N218" s="12" t="s">
        <v>60</v>
      </c>
      <c r="O218" s="12" t="s">
        <v>61</v>
      </c>
      <c r="P218" s="12" t="s">
        <v>62</v>
      </c>
      <c r="Q218" s="12" t="s">
        <v>689</v>
      </c>
      <c r="R218" s="12" t="s">
        <v>968</v>
      </c>
      <c r="S218" s="12" t="s">
        <v>696</v>
      </c>
      <c r="T218" s="12" t="s">
        <v>66</v>
      </c>
      <c r="U218" s="12" t="s">
        <v>697</v>
      </c>
      <c r="V218" s="12" t="s">
        <v>1165</v>
      </c>
      <c r="W218" s="12" t="s">
        <v>68</v>
      </c>
      <c r="X218" s="12">
        <v>44.33014</v>
      </c>
      <c r="Y218" s="12">
        <v>7.4859239999999998</v>
      </c>
      <c r="Z218" s="14" t="s">
        <v>69</v>
      </c>
      <c r="AA218" s="12">
        <v>1929</v>
      </c>
      <c r="AB218" s="12" t="str">
        <f t="shared" si="49"/>
        <v>44.33014/7.485924</v>
      </c>
      <c r="AC218" s="13" t="s">
        <v>1473</v>
      </c>
      <c r="AD218" s="25">
        <v>46054</v>
      </c>
      <c r="AE218" s="14" t="s">
        <v>70</v>
      </c>
      <c r="AF218" s="14" t="s">
        <v>71</v>
      </c>
      <c r="AG218" s="14" t="s">
        <v>72</v>
      </c>
      <c r="AH218" s="12" t="str">
        <f t="shared" si="47"/>
        <v>Europa | Italy | Piedmont | Borgo San Dalmazzo</v>
      </c>
      <c r="AI218" s="12" t="s">
        <v>73</v>
      </c>
      <c r="AJ218" s="12"/>
      <c r="AK218" s="12" t="s">
        <v>74</v>
      </c>
      <c r="AL218" s="12" t="str">
        <f t="shared" si="50"/>
        <v>ITA</v>
      </c>
      <c r="AM218" s="12" t="s">
        <v>90</v>
      </c>
      <c r="AN218" s="12" t="s">
        <v>160</v>
      </c>
      <c r="AO218" s="12" t="s">
        <v>57</v>
      </c>
      <c r="AP218" s="12" t="s">
        <v>77</v>
      </c>
      <c r="AQ218" s="12" t="s">
        <v>78</v>
      </c>
      <c r="AR218" s="12" t="s">
        <v>79</v>
      </c>
      <c r="AS218" s="12" t="s">
        <v>1388</v>
      </c>
      <c r="AT218" s="12" t="s">
        <v>80</v>
      </c>
      <c r="AU218" s="12" t="s">
        <v>695</v>
      </c>
      <c r="AV218" s="12">
        <v>1</v>
      </c>
      <c r="AW218" s="12">
        <v>1</v>
      </c>
      <c r="AX218" s="12" t="s">
        <v>81</v>
      </c>
      <c r="AY218" s="12" t="s">
        <v>82</v>
      </c>
      <c r="AZ218" s="12" t="s">
        <v>83</v>
      </c>
      <c r="BA218" s="12" t="s">
        <v>84</v>
      </c>
      <c r="BB218" s="12"/>
      <c r="BC218" s="27" t="s">
        <v>1917</v>
      </c>
      <c r="BD218" s="27" t="s">
        <v>1918</v>
      </c>
      <c r="BE218" s="12"/>
    </row>
    <row r="219" spans="1:57" x14ac:dyDescent="0.25">
      <c r="A219" s="12" t="s">
        <v>695</v>
      </c>
      <c r="B219" s="12" t="s">
        <v>57</v>
      </c>
      <c r="C219" s="12">
        <v>1978</v>
      </c>
      <c r="D219" s="12"/>
      <c r="E219" s="23"/>
      <c r="F219" s="12">
        <f t="shared" si="42"/>
        <v>1978</v>
      </c>
      <c r="G219" s="12"/>
      <c r="H219" s="12"/>
      <c r="I219" s="24">
        <f t="shared" si="48"/>
        <v>1978</v>
      </c>
      <c r="J219" s="12" t="s">
        <v>58</v>
      </c>
      <c r="K219" s="12" t="str">
        <f t="shared" si="45"/>
        <v>Turdus merula (Linnaeus, 1758)</v>
      </c>
      <c r="L219" s="12" t="str">
        <f t="shared" si="46"/>
        <v>Animalia|Chordata|Aves|Passeriformes|Turdidae|Turdus</v>
      </c>
      <c r="M219" s="12" t="s">
        <v>59</v>
      </c>
      <c r="N219" s="12" t="s">
        <v>60</v>
      </c>
      <c r="O219" s="12" t="s">
        <v>61</v>
      </c>
      <c r="P219" s="12" t="s">
        <v>62</v>
      </c>
      <c r="Q219" s="12" t="s">
        <v>689</v>
      </c>
      <c r="R219" s="12" t="s">
        <v>968</v>
      </c>
      <c r="S219" s="12" t="s">
        <v>690</v>
      </c>
      <c r="T219" s="12" t="s">
        <v>66</v>
      </c>
      <c r="U219" s="12" t="s">
        <v>691</v>
      </c>
      <c r="V219" s="12"/>
      <c r="W219" s="12" t="s">
        <v>68</v>
      </c>
      <c r="X219" s="12">
        <v>41.9</v>
      </c>
      <c r="Y219" s="12">
        <v>12.483333</v>
      </c>
      <c r="Z219" s="14" t="s">
        <v>69</v>
      </c>
      <c r="AA219" s="12">
        <v>36625</v>
      </c>
      <c r="AB219" s="12" t="str">
        <f t="shared" si="49"/>
        <v>41.9/12.483333</v>
      </c>
      <c r="AC219" s="13" t="s">
        <v>1473</v>
      </c>
      <c r="AD219" s="25">
        <v>46054</v>
      </c>
      <c r="AE219" s="14" t="s">
        <v>70</v>
      </c>
      <c r="AF219" s="14" t="s">
        <v>71</v>
      </c>
      <c r="AG219" s="14" t="s">
        <v>72</v>
      </c>
      <c r="AH219" s="12" t="str">
        <f t="shared" si="47"/>
        <v>Europa | Italy | Lazio | Rome</v>
      </c>
      <c r="AI219" s="12" t="s">
        <v>73</v>
      </c>
      <c r="AJ219" s="12"/>
      <c r="AK219" s="12" t="s">
        <v>74</v>
      </c>
      <c r="AL219" s="12" t="str">
        <f t="shared" si="50"/>
        <v>ITA</v>
      </c>
      <c r="AM219" s="12" t="s">
        <v>75</v>
      </c>
      <c r="AN219" s="12" t="s">
        <v>153</v>
      </c>
      <c r="AO219" s="12" t="s">
        <v>57</v>
      </c>
      <c r="AP219" s="12" t="s">
        <v>77</v>
      </c>
      <c r="AQ219" s="12" t="s">
        <v>78</v>
      </c>
      <c r="AR219" s="12" t="s">
        <v>79</v>
      </c>
      <c r="AS219" s="12" t="s">
        <v>1389</v>
      </c>
      <c r="AT219" s="12"/>
      <c r="AU219" s="12" t="s">
        <v>698</v>
      </c>
      <c r="AV219" s="12">
        <v>1</v>
      </c>
      <c r="AW219" s="12">
        <v>1</v>
      </c>
      <c r="AX219" s="12" t="s">
        <v>81</v>
      </c>
      <c r="AY219" s="12" t="s">
        <v>82</v>
      </c>
      <c r="AZ219" s="12" t="s">
        <v>83</v>
      </c>
      <c r="BA219" s="12" t="s">
        <v>84</v>
      </c>
      <c r="BB219" s="12"/>
      <c r="BC219" s="27" t="s">
        <v>1919</v>
      </c>
      <c r="BD219" s="27" t="s">
        <v>1920</v>
      </c>
      <c r="BE219" s="12"/>
    </row>
    <row r="220" spans="1:57" x14ac:dyDescent="0.25">
      <c r="A220" s="12" t="s">
        <v>698</v>
      </c>
      <c r="B220" s="12" t="s">
        <v>57</v>
      </c>
      <c r="C220" s="25">
        <v>21135</v>
      </c>
      <c r="D220" s="12">
        <f t="shared" si="40"/>
        <v>315</v>
      </c>
      <c r="E220" s="23">
        <f t="shared" si="41"/>
        <v>315</v>
      </c>
      <c r="F220" s="12">
        <f t="shared" si="42"/>
        <v>1957</v>
      </c>
      <c r="G220" s="12">
        <f t="shared" si="43"/>
        <v>11</v>
      </c>
      <c r="H220" s="12">
        <f t="shared" si="44"/>
        <v>11</v>
      </c>
      <c r="I220" s="24">
        <f t="shared" si="48"/>
        <v>21135</v>
      </c>
      <c r="J220" s="12" t="s">
        <v>58</v>
      </c>
      <c r="K220" s="12" t="str">
        <f t="shared" si="45"/>
        <v>Turdus iliacus (Linnaeus, 1758)</v>
      </c>
      <c r="L220" s="12" t="str">
        <f t="shared" si="46"/>
        <v>Animalia|Chordata|Aves|Passeriformes|Turdidae|Turdus</v>
      </c>
      <c r="M220" s="12" t="s">
        <v>59</v>
      </c>
      <c r="N220" s="12" t="s">
        <v>60</v>
      </c>
      <c r="O220" s="12" t="s">
        <v>61</v>
      </c>
      <c r="P220" s="12" t="s">
        <v>62</v>
      </c>
      <c r="Q220" s="12" t="s">
        <v>689</v>
      </c>
      <c r="R220" s="12" t="s">
        <v>968</v>
      </c>
      <c r="S220" s="12" t="s">
        <v>696</v>
      </c>
      <c r="T220" s="12" t="s">
        <v>66</v>
      </c>
      <c r="U220" s="12" t="s">
        <v>697</v>
      </c>
      <c r="V220" s="12" t="s">
        <v>1165</v>
      </c>
      <c r="W220" s="12" t="s">
        <v>68</v>
      </c>
      <c r="X220" s="12">
        <v>44.33014</v>
      </c>
      <c r="Y220" s="12">
        <v>7.4859239999999998</v>
      </c>
      <c r="Z220" s="14" t="s">
        <v>69</v>
      </c>
      <c r="AA220" s="12">
        <v>1929</v>
      </c>
      <c r="AB220" s="12" t="str">
        <f t="shared" si="49"/>
        <v>44.33014/7.485924</v>
      </c>
      <c r="AC220" s="13" t="s">
        <v>1473</v>
      </c>
      <c r="AD220" s="25">
        <v>46054</v>
      </c>
      <c r="AE220" s="14" t="s">
        <v>70</v>
      </c>
      <c r="AF220" s="14" t="s">
        <v>71</v>
      </c>
      <c r="AG220" s="14" t="s">
        <v>72</v>
      </c>
      <c r="AH220" s="12" t="str">
        <f t="shared" si="47"/>
        <v>Europa | Italy | Piedmont | Borgo San Dalmazzo</v>
      </c>
      <c r="AI220" s="12" t="s">
        <v>73</v>
      </c>
      <c r="AJ220" s="12"/>
      <c r="AK220" s="12" t="s">
        <v>74</v>
      </c>
      <c r="AL220" s="12" t="str">
        <f t="shared" si="50"/>
        <v>ITA</v>
      </c>
      <c r="AM220" s="12" t="s">
        <v>90</v>
      </c>
      <c r="AN220" s="12" t="s">
        <v>160</v>
      </c>
      <c r="AO220" s="12" t="s">
        <v>57</v>
      </c>
      <c r="AP220" s="12" t="s">
        <v>77</v>
      </c>
      <c r="AQ220" s="12" t="s">
        <v>78</v>
      </c>
      <c r="AR220" s="12" t="s">
        <v>79</v>
      </c>
      <c r="AS220" s="12" t="s">
        <v>1390</v>
      </c>
      <c r="AT220" s="12"/>
      <c r="AU220" s="12" t="s">
        <v>699</v>
      </c>
      <c r="AV220" s="12">
        <v>1</v>
      </c>
      <c r="AW220" s="12">
        <v>1</v>
      </c>
      <c r="AX220" s="12" t="s">
        <v>81</v>
      </c>
      <c r="AY220" s="12" t="s">
        <v>82</v>
      </c>
      <c r="AZ220" s="12" t="s">
        <v>83</v>
      </c>
      <c r="BA220" s="12" t="s">
        <v>84</v>
      </c>
      <c r="BB220" s="12"/>
      <c r="BC220" s="27" t="s">
        <v>1921</v>
      </c>
      <c r="BD220" s="27" t="s">
        <v>1922</v>
      </c>
      <c r="BE220" s="12"/>
    </row>
    <row r="221" spans="1:57" x14ac:dyDescent="0.25">
      <c r="A221" s="12" t="s">
        <v>699</v>
      </c>
      <c r="B221" s="12" t="s">
        <v>57</v>
      </c>
      <c r="C221" s="25">
        <v>23423</v>
      </c>
      <c r="D221" s="12">
        <f t="shared" si="40"/>
        <v>47</v>
      </c>
      <c r="E221" s="23">
        <f t="shared" si="41"/>
        <v>47</v>
      </c>
      <c r="F221" s="12">
        <f t="shared" si="42"/>
        <v>1964</v>
      </c>
      <c r="G221" s="12">
        <f t="shared" si="43"/>
        <v>2</v>
      </c>
      <c r="H221" s="12">
        <f t="shared" si="44"/>
        <v>16</v>
      </c>
      <c r="I221" s="24">
        <f t="shared" si="48"/>
        <v>23423</v>
      </c>
      <c r="J221" s="12" t="s">
        <v>701</v>
      </c>
      <c r="K221" s="12" t="str">
        <f t="shared" si="45"/>
        <v>Turdus philomelos (Brehm, 1831)</v>
      </c>
      <c r="L221" s="12" t="str">
        <f t="shared" si="46"/>
        <v>Animalia|Chordata|Aves|Passeriformes|Turdidae|Turdus</v>
      </c>
      <c r="M221" s="12" t="s">
        <v>59</v>
      </c>
      <c r="N221" s="12" t="s">
        <v>60</v>
      </c>
      <c r="O221" s="12" t="s">
        <v>61</v>
      </c>
      <c r="P221" s="12" t="s">
        <v>62</v>
      </c>
      <c r="Q221" s="12" t="s">
        <v>689</v>
      </c>
      <c r="R221" s="12" t="s">
        <v>968</v>
      </c>
      <c r="S221" s="12" t="s">
        <v>702</v>
      </c>
      <c r="T221" s="12" t="s">
        <v>66</v>
      </c>
      <c r="U221" s="12" t="s">
        <v>703</v>
      </c>
      <c r="V221" s="12" t="s">
        <v>1167</v>
      </c>
      <c r="W221" s="12" t="s">
        <v>68</v>
      </c>
      <c r="X221" s="12">
        <v>42.033189999999998</v>
      </c>
      <c r="Y221" s="12">
        <v>12.451403000000001</v>
      </c>
      <c r="Z221" s="14" t="s">
        <v>69</v>
      </c>
      <c r="AA221" s="12">
        <v>826</v>
      </c>
      <c r="AB221" s="12" t="str">
        <f t="shared" si="49"/>
        <v>42.03319/12.451403</v>
      </c>
      <c r="AC221" s="13" t="s">
        <v>1473</v>
      </c>
      <c r="AD221" s="25">
        <v>46054</v>
      </c>
      <c r="AE221" s="14" t="s">
        <v>70</v>
      </c>
      <c r="AF221" s="14" t="s">
        <v>71</v>
      </c>
      <c r="AG221" s="14" t="s">
        <v>72</v>
      </c>
      <c r="AH221" s="12" t="str">
        <f t="shared" si="47"/>
        <v>Europa | Italy | Lazio | Pietra Pertusa</v>
      </c>
      <c r="AI221" s="12" t="s">
        <v>73</v>
      </c>
      <c r="AJ221" s="12"/>
      <c r="AK221" s="12" t="s">
        <v>74</v>
      </c>
      <c r="AL221" s="12" t="str">
        <f t="shared" si="50"/>
        <v>ITA</v>
      </c>
      <c r="AM221" s="12" t="s">
        <v>75</v>
      </c>
      <c r="AN221" s="12" t="s">
        <v>704</v>
      </c>
      <c r="AO221" s="12" t="s">
        <v>57</v>
      </c>
      <c r="AP221" s="12" t="s">
        <v>77</v>
      </c>
      <c r="AQ221" s="12" t="s">
        <v>78</v>
      </c>
      <c r="AR221" s="12" t="s">
        <v>79</v>
      </c>
      <c r="AS221" s="12" t="s">
        <v>1391</v>
      </c>
      <c r="AT221" s="12" t="s">
        <v>80</v>
      </c>
      <c r="AU221" s="12" t="s">
        <v>700</v>
      </c>
      <c r="AV221" s="12">
        <v>1</v>
      </c>
      <c r="AW221" s="12">
        <v>1</v>
      </c>
      <c r="AX221" s="12" t="s">
        <v>81</v>
      </c>
      <c r="AY221" s="12" t="s">
        <v>82</v>
      </c>
      <c r="AZ221" s="12" t="s">
        <v>83</v>
      </c>
      <c r="BA221" s="12" t="s">
        <v>84</v>
      </c>
      <c r="BB221" s="12"/>
      <c r="BC221" s="27" t="s">
        <v>1923</v>
      </c>
      <c r="BD221" s="27" t="s">
        <v>1924</v>
      </c>
      <c r="BE221" s="12"/>
    </row>
    <row r="222" spans="1:57" x14ac:dyDescent="0.25">
      <c r="A222" s="12" t="s">
        <v>700</v>
      </c>
      <c r="B222" s="12" t="s">
        <v>57</v>
      </c>
      <c r="C222" s="25">
        <v>23423</v>
      </c>
      <c r="D222" s="12">
        <f t="shared" si="40"/>
        <v>47</v>
      </c>
      <c r="E222" s="23">
        <f t="shared" si="41"/>
        <v>47</v>
      </c>
      <c r="F222" s="12">
        <f t="shared" si="42"/>
        <v>1964</v>
      </c>
      <c r="G222" s="12">
        <f t="shared" si="43"/>
        <v>2</v>
      </c>
      <c r="H222" s="12">
        <f t="shared" si="44"/>
        <v>16</v>
      </c>
      <c r="I222" s="24">
        <f t="shared" si="48"/>
        <v>23423</v>
      </c>
      <c r="J222" s="12" t="s">
        <v>701</v>
      </c>
      <c r="K222" s="12" t="str">
        <f t="shared" si="45"/>
        <v>Turdus philomelos (Brehm, 1831)</v>
      </c>
      <c r="L222" s="12" t="str">
        <f t="shared" si="46"/>
        <v>Animalia|Chordata|Aves|Passeriformes|Turdidae|Turdus</v>
      </c>
      <c r="M222" s="12" t="s">
        <v>59</v>
      </c>
      <c r="N222" s="12" t="s">
        <v>60</v>
      </c>
      <c r="O222" s="12" t="s">
        <v>61</v>
      </c>
      <c r="P222" s="12" t="s">
        <v>62</v>
      </c>
      <c r="Q222" s="12" t="s">
        <v>689</v>
      </c>
      <c r="R222" s="12" t="s">
        <v>968</v>
      </c>
      <c r="S222" s="12" t="s">
        <v>702</v>
      </c>
      <c r="T222" s="12" t="s">
        <v>66</v>
      </c>
      <c r="U222" s="12" t="s">
        <v>703</v>
      </c>
      <c r="V222" s="12" t="s">
        <v>1167</v>
      </c>
      <c r="W222" s="12" t="s">
        <v>68</v>
      </c>
      <c r="X222" s="12">
        <v>42.033189999999998</v>
      </c>
      <c r="Y222" s="12">
        <v>12.451403000000001</v>
      </c>
      <c r="Z222" s="14" t="s">
        <v>69</v>
      </c>
      <c r="AA222" s="12">
        <v>1350</v>
      </c>
      <c r="AB222" s="12" t="str">
        <f t="shared" si="49"/>
        <v>42.03319/12.451403</v>
      </c>
      <c r="AC222" s="13" t="s">
        <v>1473</v>
      </c>
      <c r="AD222" s="25">
        <v>46054</v>
      </c>
      <c r="AE222" s="14" t="s">
        <v>70</v>
      </c>
      <c r="AF222" s="14" t="s">
        <v>71</v>
      </c>
      <c r="AG222" s="14" t="s">
        <v>72</v>
      </c>
      <c r="AH222" s="12" t="str">
        <f t="shared" si="47"/>
        <v>Europa | Italy | Lazio | Pietra Pertusa</v>
      </c>
      <c r="AI222" s="12" t="s">
        <v>73</v>
      </c>
      <c r="AJ222" s="12"/>
      <c r="AK222" s="12" t="s">
        <v>74</v>
      </c>
      <c r="AL222" s="12" t="str">
        <f t="shared" si="50"/>
        <v>ITA</v>
      </c>
      <c r="AM222" s="12" t="s">
        <v>75</v>
      </c>
      <c r="AN222" s="12" t="s">
        <v>704</v>
      </c>
      <c r="AO222" s="12" t="s">
        <v>57</v>
      </c>
      <c r="AP222" s="12" t="s">
        <v>77</v>
      </c>
      <c r="AQ222" s="12" t="s">
        <v>78</v>
      </c>
      <c r="AR222" s="12" t="s">
        <v>79</v>
      </c>
      <c r="AS222" s="12" t="s">
        <v>1392</v>
      </c>
      <c r="AT222" s="12"/>
      <c r="AU222" s="12" t="s">
        <v>705</v>
      </c>
      <c r="AV222" s="12">
        <v>1</v>
      </c>
      <c r="AW222" s="12">
        <v>1</v>
      </c>
      <c r="AX222" s="12" t="s">
        <v>81</v>
      </c>
      <c r="AY222" s="12" t="s">
        <v>82</v>
      </c>
      <c r="AZ222" s="12" t="s">
        <v>83</v>
      </c>
      <c r="BA222" s="12" t="s">
        <v>84</v>
      </c>
      <c r="BB222" s="12"/>
      <c r="BC222" s="27" t="s">
        <v>1925</v>
      </c>
      <c r="BD222" s="27" t="s">
        <v>1926</v>
      </c>
      <c r="BE222" s="12"/>
    </row>
    <row r="223" spans="1:57" x14ac:dyDescent="0.25">
      <c r="A223" s="12" t="s">
        <v>705</v>
      </c>
      <c r="B223" s="12" t="s">
        <v>57</v>
      </c>
      <c r="C223" s="12">
        <v>1890</v>
      </c>
      <c r="D223" s="12"/>
      <c r="E223" s="23"/>
      <c r="F223" s="12">
        <f t="shared" si="42"/>
        <v>1890</v>
      </c>
      <c r="G223" s="12"/>
      <c r="H223" s="12"/>
      <c r="I223" s="24">
        <f t="shared" si="48"/>
        <v>1890</v>
      </c>
      <c r="J223" s="12" t="s">
        <v>58</v>
      </c>
      <c r="K223" s="12" t="str">
        <f t="shared" si="45"/>
        <v>Oenanthe oenanthe (Linnaeus, 1758)</v>
      </c>
      <c r="L223" s="12" t="str">
        <f t="shared" si="46"/>
        <v>Animalia|Chordata|Aves|Passeriformes|Muscicapidae|Oenanthe</v>
      </c>
      <c r="M223" s="12" t="s">
        <v>59</v>
      </c>
      <c r="N223" s="12" t="s">
        <v>60</v>
      </c>
      <c r="O223" s="12" t="s">
        <v>61</v>
      </c>
      <c r="P223" s="12" t="s">
        <v>62</v>
      </c>
      <c r="Q223" s="12" t="s">
        <v>177</v>
      </c>
      <c r="R223" s="12" t="s">
        <v>969</v>
      </c>
      <c r="S223" s="12" t="s">
        <v>707</v>
      </c>
      <c r="T223" s="12" t="s">
        <v>66</v>
      </c>
      <c r="U223" s="12" t="s">
        <v>708</v>
      </c>
      <c r="V223" s="12"/>
      <c r="W223" s="12" t="s">
        <v>68</v>
      </c>
      <c r="X223" s="12">
        <v>41.777932999999997</v>
      </c>
      <c r="Y223" s="12">
        <v>12.297191</v>
      </c>
      <c r="Z223" s="14" t="s">
        <v>69</v>
      </c>
      <c r="AA223" s="12">
        <v>7066</v>
      </c>
      <c r="AB223" s="12" t="str">
        <f t="shared" si="49"/>
        <v>41.777933/12.297191</v>
      </c>
      <c r="AC223" s="13" t="s">
        <v>1473</v>
      </c>
      <c r="AD223" s="25">
        <v>46054</v>
      </c>
      <c r="AE223" s="14" t="s">
        <v>70</v>
      </c>
      <c r="AF223" s="14" t="s">
        <v>71</v>
      </c>
      <c r="AG223" s="14" t="s">
        <v>72</v>
      </c>
      <c r="AH223" s="12" t="str">
        <f t="shared" si="47"/>
        <v>Europa | Italy | Lazio | Fiumicino</v>
      </c>
      <c r="AI223" s="12" t="s">
        <v>73</v>
      </c>
      <c r="AJ223" s="12"/>
      <c r="AK223" s="12" t="s">
        <v>74</v>
      </c>
      <c r="AL223" s="12" t="str">
        <f t="shared" si="50"/>
        <v>ITA</v>
      </c>
      <c r="AM223" s="12" t="s">
        <v>75</v>
      </c>
      <c r="AN223" s="12" t="s">
        <v>386</v>
      </c>
      <c r="AO223" s="12" t="s">
        <v>57</v>
      </c>
      <c r="AP223" s="12" t="s">
        <v>77</v>
      </c>
      <c r="AQ223" s="12" t="s">
        <v>78</v>
      </c>
      <c r="AR223" s="12" t="s">
        <v>79</v>
      </c>
      <c r="AS223" s="12" t="s">
        <v>1393</v>
      </c>
      <c r="AT223" s="12"/>
      <c r="AU223" s="12" t="s">
        <v>706</v>
      </c>
      <c r="AV223" s="12">
        <v>1</v>
      </c>
      <c r="AW223" s="12">
        <v>1</v>
      </c>
      <c r="AX223" s="12" t="s">
        <v>81</v>
      </c>
      <c r="AY223" s="12" t="s">
        <v>82</v>
      </c>
      <c r="AZ223" s="12" t="s">
        <v>83</v>
      </c>
      <c r="BA223" s="12" t="s">
        <v>84</v>
      </c>
      <c r="BB223" s="12"/>
      <c r="BC223" s="27" t="s">
        <v>1927</v>
      </c>
      <c r="BD223" s="27" t="s">
        <v>1928</v>
      </c>
      <c r="BE223" s="12"/>
    </row>
    <row r="224" spans="1:57" x14ac:dyDescent="0.25">
      <c r="A224" s="12" t="s">
        <v>706</v>
      </c>
      <c r="B224" s="12" t="s">
        <v>57</v>
      </c>
      <c r="C224" s="12">
        <v>1892</v>
      </c>
      <c r="D224" s="12"/>
      <c r="E224" s="23"/>
      <c r="F224" s="12">
        <f t="shared" si="42"/>
        <v>1892</v>
      </c>
      <c r="G224" s="12"/>
      <c r="H224" s="12"/>
      <c r="I224" s="24">
        <f t="shared" si="48"/>
        <v>1892</v>
      </c>
      <c r="J224" s="12" t="s">
        <v>58</v>
      </c>
      <c r="K224" s="12" t="str">
        <f t="shared" si="45"/>
        <v>Monticola solitarius (Linnaeus, 1758)</v>
      </c>
      <c r="L224" s="12" t="str">
        <f t="shared" si="46"/>
        <v>Animalia|Chordata|Aves|Passeriformes|Muscicapidae|Monticola</v>
      </c>
      <c r="M224" s="12" t="s">
        <v>59</v>
      </c>
      <c r="N224" s="12" t="s">
        <v>60</v>
      </c>
      <c r="O224" s="12" t="s">
        <v>61</v>
      </c>
      <c r="P224" s="12" t="s">
        <v>62</v>
      </c>
      <c r="Q224" s="12" t="s">
        <v>177</v>
      </c>
      <c r="R224" s="12" t="s">
        <v>963</v>
      </c>
      <c r="S224" s="12" t="s">
        <v>710</v>
      </c>
      <c r="T224" s="12" t="s">
        <v>66</v>
      </c>
      <c r="U224" s="12" t="s">
        <v>711</v>
      </c>
      <c r="V224" s="12"/>
      <c r="W224" s="12" t="s">
        <v>68</v>
      </c>
      <c r="X224" s="12">
        <v>41.9</v>
      </c>
      <c r="Y224" s="12">
        <v>12.483333</v>
      </c>
      <c r="Z224" s="14" t="s">
        <v>69</v>
      </c>
      <c r="AA224" s="12">
        <v>36625</v>
      </c>
      <c r="AB224" s="12" t="str">
        <f t="shared" si="49"/>
        <v>41.9/12.483333</v>
      </c>
      <c r="AC224" s="13" t="s">
        <v>1473</v>
      </c>
      <c r="AD224" s="25">
        <v>46054</v>
      </c>
      <c r="AE224" s="14" t="s">
        <v>70</v>
      </c>
      <c r="AF224" s="14" t="s">
        <v>71</v>
      </c>
      <c r="AG224" s="14" t="s">
        <v>72</v>
      </c>
      <c r="AH224" s="12" t="str">
        <f t="shared" si="47"/>
        <v>Europa | Italy | Lazio | Rome</v>
      </c>
      <c r="AI224" s="12" t="s">
        <v>73</v>
      </c>
      <c r="AJ224" s="12"/>
      <c r="AK224" s="12" t="s">
        <v>74</v>
      </c>
      <c r="AL224" s="12" t="str">
        <f t="shared" si="50"/>
        <v>ITA</v>
      </c>
      <c r="AM224" s="12" t="s">
        <v>75</v>
      </c>
      <c r="AN224" s="12" t="s">
        <v>153</v>
      </c>
      <c r="AO224" s="12" t="s">
        <v>57</v>
      </c>
      <c r="AP224" s="12" t="s">
        <v>77</v>
      </c>
      <c r="AQ224" s="12" t="s">
        <v>78</v>
      </c>
      <c r="AR224" s="12" t="s">
        <v>79</v>
      </c>
      <c r="AS224" s="12" t="s">
        <v>1394</v>
      </c>
      <c r="AT224" s="12"/>
      <c r="AU224" s="12" t="s">
        <v>709</v>
      </c>
      <c r="AV224" s="12">
        <v>1</v>
      </c>
      <c r="AW224" s="12">
        <v>1</v>
      </c>
      <c r="AX224" s="12" t="s">
        <v>81</v>
      </c>
      <c r="AY224" s="12" t="s">
        <v>82</v>
      </c>
      <c r="AZ224" s="12" t="s">
        <v>83</v>
      </c>
      <c r="BA224" s="12" t="s">
        <v>84</v>
      </c>
      <c r="BB224" s="12"/>
      <c r="BC224" s="27" t="s">
        <v>1929</v>
      </c>
      <c r="BD224" s="27" t="s">
        <v>1930</v>
      </c>
      <c r="BE224" s="12"/>
    </row>
    <row r="225" spans="1:57" x14ac:dyDescent="0.25">
      <c r="A225" s="12" t="s">
        <v>709</v>
      </c>
      <c r="B225" s="12" t="s">
        <v>57</v>
      </c>
      <c r="C225" s="25">
        <v>19075</v>
      </c>
      <c r="D225" s="12">
        <f t="shared" si="40"/>
        <v>82</v>
      </c>
      <c r="E225" s="23">
        <f t="shared" si="41"/>
        <v>82</v>
      </c>
      <c r="F225" s="12">
        <f t="shared" si="42"/>
        <v>1952</v>
      </c>
      <c r="G225" s="12">
        <f t="shared" si="43"/>
        <v>3</v>
      </c>
      <c r="H225" s="12">
        <f t="shared" si="44"/>
        <v>22</v>
      </c>
      <c r="I225" s="24">
        <f t="shared" si="48"/>
        <v>19075</v>
      </c>
      <c r="J225" s="12" t="s">
        <v>124</v>
      </c>
      <c r="K225" s="12" t="str">
        <f t="shared" si="45"/>
        <v>Saxicola torquatus (Linnaeus, 1766)</v>
      </c>
      <c r="L225" s="12" t="str">
        <f t="shared" si="46"/>
        <v>Animalia|Chordata|Aves|Passeriformes|Muscicapidae|Saxicola</v>
      </c>
      <c r="M225" s="12" t="s">
        <v>59</v>
      </c>
      <c r="N225" s="12" t="s">
        <v>60</v>
      </c>
      <c r="O225" s="12" t="s">
        <v>61</v>
      </c>
      <c r="P225" s="12" t="s">
        <v>62</v>
      </c>
      <c r="Q225" s="12" t="s">
        <v>177</v>
      </c>
      <c r="R225" s="12" t="s">
        <v>970</v>
      </c>
      <c r="S225" s="12" t="s">
        <v>693</v>
      </c>
      <c r="T225" s="12" t="s">
        <v>66</v>
      </c>
      <c r="U225" s="12" t="s">
        <v>713</v>
      </c>
      <c r="V225" s="12" t="s">
        <v>1168</v>
      </c>
      <c r="W225" s="12" t="s">
        <v>68</v>
      </c>
      <c r="X225" s="12">
        <v>40.970559000000002</v>
      </c>
      <c r="Y225" s="12">
        <v>13.054792000000001</v>
      </c>
      <c r="Z225" s="14" t="s">
        <v>69</v>
      </c>
      <c r="AA225" s="12">
        <v>834</v>
      </c>
      <c r="AB225" s="12" t="str">
        <f t="shared" si="49"/>
        <v>40.970559/13.054792</v>
      </c>
      <c r="AC225" s="13" t="s">
        <v>1473</v>
      </c>
      <c r="AD225" s="25">
        <v>46054</v>
      </c>
      <c r="AE225" s="14" t="s">
        <v>70</v>
      </c>
      <c r="AF225" s="14" t="s">
        <v>71</v>
      </c>
      <c r="AG225" s="14" t="s">
        <v>72</v>
      </c>
      <c r="AH225" s="12" t="str">
        <f t="shared" si="47"/>
        <v>Europa | Zannone | Italy | Lazio | Zannone Island</v>
      </c>
      <c r="AI225" s="12" t="s">
        <v>73</v>
      </c>
      <c r="AJ225" s="12" t="s">
        <v>1486</v>
      </c>
      <c r="AK225" s="12" t="s">
        <v>74</v>
      </c>
      <c r="AL225" s="12" t="str">
        <f t="shared" si="50"/>
        <v>ITA</v>
      </c>
      <c r="AM225" s="12" t="s">
        <v>75</v>
      </c>
      <c r="AN225" s="12" t="s">
        <v>458</v>
      </c>
      <c r="AO225" s="12" t="s">
        <v>57</v>
      </c>
      <c r="AP225" s="12" t="s">
        <v>77</v>
      </c>
      <c r="AQ225" s="12" t="s">
        <v>78</v>
      </c>
      <c r="AR225" s="12" t="s">
        <v>79</v>
      </c>
      <c r="AS225" s="12" t="s">
        <v>1395</v>
      </c>
      <c r="AT225" s="12" t="s">
        <v>92</v>
      </c>
      <c r="AU225" s="12" t="s">
        <v>712</v>
      </c>
      <c r="AV225" s="12">
        <v>1</v>
      </c>
      <c r="AW225" s="12">
        <v>1</v>
      </c>
      <c r="AX225" s="12" t="s">
        <v>81</v>
      </c>
      <c r="AY225" s="12" t="s">
        <v>82</v>
      </c>
      <c r="AZ225" s="12" t="s">
        <v>83</v>
      </c>
      <c r="BA225" s="12" t="s">
        <v>84</v>
      </c>
      <c r="BB225" s="12"/>
      <c r="BC225" s="27" t="s">
        <v>1931</v>
      </c>
      <c r="BD225" s="27" t="s">
        <v>1932</v>
      </c>
      <c r="BE225" s="12"/>
    </row>
    <row r="226" spans="1:57" x14ac:dyDescent="0.25">
      <c r="A226" s="12" t="s">
        <v>712</v>
      </c>
      <c r="B226" s="12" t="s">
        <v>57</v>
      </c>
      <c r="C226" s="12">
        <v>1977</v>
      </c>
      <c r="D226" s="12"/>
      <c r="E226" s="23"/>
      <c r="F226" s="12">
        <f t="shared" si="42"/>
        <v>1977</v>
      </c>
      <c r="G226" s="12"/>
      <c r="H226" s="12"/>
      <c r="I226" s="24">
        <f t="shared" si="48"/>
        <v>1977</v>
      </c>
      <c r="J226" s="12" t="s">
        <v>58</v>
      </c>
      <c r="K226" s="12" t="str">
        <f t="shared" si="45"/>
        <v>Saxicola rubetra (Linnaeus, 1758)</v>
      </c>
      <c r="L226" s="12" t="str">
        <f t="shared" si="46"/>
        <v>Animalia|Chordata|Aves|Passeriformes|Muscicapidae|Saxicola</v>
      </c>
      <c r="M226" s="12" t="s">
        <v>59</v>
      </c>
      <c r="N226" s="12" t="s">
        <v>60</v>
      </c>
      <c r="O226" s="12" t="s">
        <v>61</v>
      </c>
      <c r="P226" s="12" t="s">
        <v>62</v>
      </c>
      <c r="Q226" s="12" t="s">
        <v>177</v>
      </c>
      <c r="R226" s="12" t="s">
        <v>970</v>
      </c>
      <c r="S226" s="12" t="s">
        <v>715</v>
      </c>
      <c r="T226" s="12" t="s">
        <v>66</v>
      </c>
      <c r="U226" s="12" t="s">
        <v>716</v>
      </c>
      <c r="V226" s="12" t="s">
        <v>1167</v>
      </c>
      <c r="W226" s="12" t="s">
        <v>68</v>
      </c>
      <c r="X226" s="12">
        <v>40.728682999999997</v>
      </c>
      <c r="Y226" s="12">
        <v>17.577282</v>
      </c>
      <c r="Z226" s="14" t="s">
        <v>69</v>
      </c>
      <c r="AA226" s="12">
        <v>2961</v>
      </c>
      <c r="AB226" s="12" t="str">
        <f t="shared" si="49"/>
        <v>40.728683/17.577282</v>
      </c>
      <c r="AC226" s="13" t="s">
        <v>1473</v>
      </c>
      <c r="AD226" s="25">
        <v>46054</v>
      </c>
      <c r="AE226" s="14" t="s">
        <v>70</v>
      </c>
      <c r="AF226" s="14" t="s">
        <v>71</v>
      </c>
      <c r="AG226" s="14" t="s">
        <v>72</v>
      </c>
      <c r="AH226" s="12" t="str">
        <f t="shared" si="47"/>
        <v>Europa | Italy | Apulia | Ostuni</v>
      </c>
      <c r="AI226" s="12" t="s">
        <v>73</v>
      </c>
      <c r="AJ226" s="12"/>
      <c r="AK226" s="12" t="s">
        <v>74</v>
      </c>
      <c r="AL226" s="12" t="str">
        <f t="shared" si="50"/>
        <v>ITA</v>
      </c>
      <c r="AM226" s="12" t="s">
        <v>717</v>
      </c>
      <c r="AN226" s="12" t="s">
        <v>718</v>
      </c>
      <c r="AO226" s="12" t="s">
        <v>57</v>
      </c>
      <c r="AP226" s="12" t="s">
        <v>77</v>
      </c>
      <c r="AQ226" s="12" t="s">
        <v>78</v>
      </c>
      <c r="AR226" s="12" t="s">
        <v>79</v>
      </c>
      <c r="AS226" s="12" t="s">
        <v>1396</v>
      </c>
      <c r="AT226" s="12" t="s">
        <v>80</v>
      </c>
      <c r="AU226" s="12" t="s">
        <v>714</v>
      </c>
      <c r="AV226" s="12">
        <v>1</v>
      </c>
      <c r="AW226" s="12">
        <v>1</v>
      </c>
      <c r="AX226" s="12" t="s">
        <v>81</v>
      </c>
      <c r="AY226" s="12" t="s">
        <v>82</v>
      </c>
      <c r="AZ226" s="12" t="s">
        <v>83</v>
      </c>
      <c r="BA226" s="12" t="s">
        <v>84</v>
      </c>
      <c r="BB226" s="12"/>
      <c r="BC226" s="27" t="s">
        <v>1933</v>
      </c>
      <c r="BD226" s="27" t="s">
        <v>1934</v>
      </c>
      <c r="BE226" s="12"/>
    </row>
    <row r="227" spans="1:57" x14ac:dyDescent="0.25">
      <c r="A227" s="12" t="s">
        <v>714</v>
      </c>
      <c r="B227" s="12" t="s">
        <v>57</v>
      </c>
      <c r="C227" s="25">
        <v>29660</v>
      </c>
      <c r="D227" s="12">
        <f t="shared" si="40"/>
        <v>74</v>
      </c>
      <c r="E227" s="23">
        <f t="shared" si="41"/>
        <v>74</v>
      </c>
      <c r="F227" s="12">
        <f t="shared" si="42"/>
        <v>1981</v>
      </c>
      <c r="G227" s="12">
        <f t="shared" si="43"/>
        <v>3</v>
      </c>
      <c r="H227" s="12">
        <f t="shared" si="44"/>
        <v>15</v>
      </c>
      <c r="I227" s="24">
        <f t="shared" si="48"/>
        <v>29660</v>
      </c>
      <c r="J227" s="12" t="s">
        <v>115</v>
      </c>
      <c r="K227" s="12" t="str">
        <f t="shared" si="45"/>
        <v>Sylvia cantillans (Pallas, 1764)</v>
      </c>
      <c r="L227" s="12" t="str">
        <f t="shared" si="46"/>
        <v>Animalia|Chordata|Aves|Passeriformes|Sylviidae|Sylvia</v>
      </c>
      <c r="M227" s="12" t="s">
        <v>59</v>
      </c>
      <c r="N227" s="12" t="s">
        <v>60</v>
      </c>
      <c r="O227" s="12" t="s">
        <v>61</v>
      </c>
      <c r="P227" s="12" t="s">
        <v>62</v>
      </c>
      <c r="Q227" s="12" t="s">
        <v>723</v>
      </c>
      <c r="R227" s="12" t="s">
        <v>972</v>
      </c>
      <c r="S227" s="12" t="s">
        <v>1471</v>
      </c>
      <c r="T227" s="12" t="s">
        <v>66</v>
      </c>
      <c r="U227" s="12" t="s">
        <v>720</v>
      </c>
      <c r="V227" s="12" t="s">
        <v>1169</v>
      </c>
      <c r="W227" s="12" t="s">
        <v>68</v>
      </c>
      <c r="X227" s="12">
        <v>41.978831999999997</v>
      </c>
      <c r="Y227" s="12">
        <v>12.515606999999999</v>
      </c>
      <c r="Z227" s="14" t="s">
        <v>69</v>
      </c>
      <c r="AA227" s="12">
        <v>1913</v>
      </c>
      <c r="AB227" s="12" t="str">
        <f t="shared" si="49"/>
        <v>41.978832/12.515607</v>
      </c>
      <c r="AC227" s="13" t="s">
        <v>1473</v>
      </c>
      <c r="AD227" s="25">
        <v>46054</v>
      </c>
      <c r="AE227" s="14" t="s">
        <v>70</v>
      </c>
      <c r="AF227" s="14" t="s">
        <v>71</v>
      </c>
      <c r="AG227" s="14" t="s">
        <v>72</v>
      </c>
      <c r="AH227" s="12" t="str">
        <f t="shared" si="47"/>
        <v>Europa | Italy | Lazio | Roma, Fidene</v>
      </c>
      <c r="AI227" s="12" t="s">
        <v>73</v>
      </c>
      <c r="AJ227" s="12"/>
      <c r="AK227" s="12" t="s">
        <v>74</v>
      </c>
      <c r="AL227" s="12" t="str">
        <f t="shared" si="50"/>
        <v>ITA</v>
      </c>
      <c r="AM227" s="12" t="s">
        <v>75</v>
      </c>
      <c r="AN227" s="12" t="s">
        <v>1485</v>
      </c>
      <c r="AO227" s="12" t="s">
        <v>57</v>
      </c>
      <c r="AP227" s="12" t="s">
        <v>77</v>
      </c>
      <c r="AQ227" s="12" t="s">
        <v>78</v>
      </c>
      <c r="AR227" s="12" t="s">
        <v>79</v>
      </c>
      <c r="AS227" s="12" t="s">
        <v>1397</v>
      </c>
      <c r="AT227" s="12" t="s">
        <v>80</v>
      </c>
      <c r="AU227" s="12" t="s">
        <v>719</v>
      </c>
      <c r="AV227" s="12">
        <v>1</v>
      </c>
      <c r="AW227" s="12">
        <v>1</v>
      </c>
      <c r="AX227" s="12" t="s">
        <v>81</v>
      </c>
      <c r="AY227" s="12" t="s">
        <v>82</v>
      </c>
      <c r="AZ227" s="12" t="s">
        <v>83</v>
      </c>
      <c r="BA227" s="12" t="s">
        <v>84</v>
      </c>
      <c r="BB227" s="12"/>
      <c r="BC227" s="27" t="s">
        <v>1935</v>
      </c>
      <c r="BD227" s="27" t="s">
        <v>1936</v>
      </c>
      <c r="BE227" s="12"/>
    </row>
    <row r="228" spans="1:57" x14ac:dyDescent="0.25">
      <c r="A228" s="12" t="s">
        <v>719</v>
      </c>
      <c r="B228" s="12" t="s">
        <v>57</v>
      </c>
      <c r="C228" s="25">
        <v>20685</v>
      </c>
      <c r="D228" s="12">
        <f t="shared" si="40"/>
        <v>231</v>
      </c>
      <c r="E228" s="23">
        <f t="shared" si="41"/>
        <v>231</v>
      </c>
      <c r="F228" s="12">
        <f t="shared" si="42"/>
        <v>1956</v>
      </c>
      <c r="G228" s="12">
        <f t="shared" si="43"/>
        <v>8</v>
      </c>
      <c r="H228" s="12">
        <f t="shared" si="44"/>
        <v>18</v>
      </c>
      <c r="I228" s="24">
        <f t="shared" si="48"/>
        <v>20685</v>
      </c>
      <c r="J228" s="12" t="s">
        <v>722</v>
      </c>
      <c r="K228" s="12" t="str">
        <f t="shared" si="45"/>
        <v>Curruca hortensis (Gmelin, 1789)</v>
      </c>
      <c r="L228" s="12" t="str">
        <f t="shared" si="46"/>
        <v>Animalia|Chordata|Aves|Passeriformes|Sylviidae|Curruca</v>
      </c>
      <c r="M228" s="12" t="s">
        <v>59</v>
      </c>
      <c r="N228" s="12" t="s">
        <v>60</v>
      </c>
      <c r="O228" s="12" t="s">
        <v>61</v>
      </c>
      <c r="P228" s="12" t="s">
        <v>62</v>
      </c>
      <c r="Q228" s="12" t="s">
        <v>723</v>
      </c>
      <c r="R228" s="12" t="s">
        <v>971</v>
      </c>
      <c r="S228" s="12" t="s">
        <v>724</v>
      </c>
      <c r="T228" s="12" t="s">
        <v>66</v>
      </c>
      <c r="U228" s="12" t="s">
        <v>725</v>
      </c>
      <c r="V228" s="12" t="s">
        <v>1165</v>
      </c>
      <c r="W228" s="12" t="s">
        <v>68</v>
      </c>
      <c r="X228" s="12">
        <v>44.33014</v>
      </c>
      <c r="Y228" s="12">
        <v>7.4859239999999998</v>
      </c>
      <c r="Z228" s="14" t="s">
        <v>69</v>
      </c>
      <c r="AA228" s="12">
        <v>1929</v>
      </c>
      <c r="AB228" s="12" t="str">
        <f t="shared" si="49"/>
        <v>44.33014/7.485924</v>
      </c>
      <c r="AC228" s="13" t="s">
        <v>1473</v>
      </c>
      <c r="AD228" s="25">
        <v>46054</v>
      </c>
      <c r="AE228" s="14" t="s">
        <v>70</v>
      </c>
      <c r="AF228" s="14" t="s">
        <v>71</v>
      </c>
      <c r="AG228" s="14" t="s">
        <v>72</v>
      </c>
      <c r="AH228" s="12" t="str">
        <f t="shared" si="47"/>
        <v>Europa | Italy | Piedmont | Borgo San Dalmazzo</v>
      </c>
      <c r="AI228" s="12" t="s">
        <v>73</v>
      </c>
      <c r="AJ228" s="12"/>
      <c r="AK228" s="12" t="s">
        <v>74</v>
      </c>
      <c r="AL228" s="12" t="str">
        <f t="shared" si="50"/>
        <v>ITA</v>
      </c>
      <c r="AM228" s="12" t="s">
        <v>90</v>
      </c>
      <c r="AN228" s="12" t="s">
        <v>160</v>
      </c>
      <c r="AO228" s="12" t="s">
        <v>57</v>
      </c>
      <c r="AP228" s="12" t="s">
        <v>77</v>
      </c>
      <c r="AQ228" s="12" t="s">
        <v>78</v>
      </c>
      <c r="AR228" s="12" t="s">
        <v>79</v>
      </c>
      <c r="AS228" s="12" t="s">
        <v>1398</v>
      </c>
      <c r="AT228" s="12" t="s">
        <v>80</v>
      </c>
      <c r="AU228" s="12" t="s">
        <v>721</v>
      </c>
      <c r="AV228" s="12">
        <v>1</v>
      </c>
      <c r="AW228" s="12">
        <v>1</v>
      </c>
      <c r="AX228" s="12" t="s">
        <v>81</v>
      </c>
      <c r="AY228" s="12" t="s">
        <v>82</v>
      </c>
      <c r="AZ228" s="12" t="s">
        <v>83</v>
      </c>
      <c r="BA228" s="12" t="s">
        <v>84</v>
      </c>
      <c r="BB228" s="12"/>
      <c r="BC228" s="27" t="s">
        <v>1937</v>
      </c>
      <c r="BD228" s="27" t="s">
        <v>1938</v>
      </c>
      <c r="BE228" s="12"/>
    </row>
    <row r="229" spans="1:57" x14ac:dyDescent="0.25">
      <c r="A229" s="12" t="s">
        <v>721</v>
      </c>
      <c r="B229" s="12" t="s">
        <v>57</v>
      </c>
      <c r="C229" s="25">
        <v>22161</v>
      </c>
      <c r="D229" s="12">
        <f t="shared" si="40"/>
        <v>246</v>
      </c>
      <c r="E229" s="23">
        <f t="shared" si="41"/>
        <v>246</v>
      </c>
      <c r="F229" s="12">
        <f t="shared" si="42"/>
        <v>1960</v>
      </c>
      <c r="G229" s="12">
        <f t="shared" si="43"/>
        <v>9</v>
      </c>
      <c r="H229" s="12">
        <f t="shared" si="44"/>
        <v>2</v>
      </c>
      <c r="I229" s="24">
        <f t="shared" si="48"/>
        <v>22161</v>
      </c>
      <c r="J229" s="12" t="s">
        <v>500</v>
      </c>
      <c r="K229" s="12" t="str">
        <f t="shared" si="45"/>
        <v>Sylvia borin (Boddaert, 1783)</v>
      </c>
      <c r="L229" s="12" t="str">
        <f t="shared" si="46"/>
        <v>Animalia|Chordata|Aves|Passeriformes|Sylviidae|Sylvia</v>
      </c>
      <c r="M229" s="12" t="s">
        <v>59</v>
      </c>
      <c r="N229" s="12" t="s">
        <v>60</v>
      </c>
      <c r="O229" s="12" t="s">
        <v>61</v>
      </c>
      <c r="P229" s="12" t="s">
        <v>62</v>
      </c>
      <c r="Q229" s="12" t="s">
        <v>723</v>
      </c>
      <c r="R229" s="12" t="s">
        <v>972</v>
      </c>
      <c r="S229" s="12" t="s">
        <v>727</v>
      </c>
      <c r="T229" s="12" t="s">
        <v>66</v>
      </c>
      <c r="U229" s="12" t="s">
        <v>728</v>
      </c>
      <c r="V229" s="12" t="s">
        <v>1165</v>
      </c>
      <c r="W229" s="12" t="s">
        <v>68</v>
      </c>
      <c r="X229" s="12">
        <v>44.33014</v>
      </c>
      <c r="Y229" s="12">
        <v>7.4859239999999998</v>
      </c>
      <c r="Z229" s="14" t="s">
        <v>69</v>
      </c>
      <c r="AA229" s="12">
        <v>1929</v>
      </c>
      <c r="AB229" s="12" t="str">
        <f t="shared" si="49"/>
        <v>44.33014/7.485924</v>
      </c>
      <c r="AC229" s="13" t="s">
        <v>1473</v>
      </c>
      <c r="AD229" s="25">
        <v>46054</v>
      </c>
      <c r="AE229" s="14" t="s">
        <v>70</v>
      </c>
      <c r="AF229" s="14" t="s">
        <v>71</v>
      </c>
      <c r="AG229" s="14" t="s">
        <v>72</v>
      </c>
      <c r="AH229" s="12" t="str">
        <f t="shared" si="47"/>
        <v>Europa | Italy | Piedmont | Borgo San Dalmazzo</v>
      </c>
      <c r="AI229" s="12" t="s">
        <v>73</v>
      </c>
      <c r="AJ229" s="12"/>
      <c r="AK229" s="12" t="s">
        <v>74</v>
      </c>
      <c r="AL229" s="12" t="str">
        <f t="shared" si="50"/>
        <v>ITA</v>
      </c>
      <c r="AM229" s="12" t="s">
        <v>90</v>
      </c>
      <c r="AN229" s="12" t="s">
        <v>160</v>
      </c>
      <c r="AO229" s="12" t="s">
        <v>57</v>
      </c>
      <c r="AP229" s="12" t="s">
        <v>77</v>
      </c>
      <c r="AQ229" s="12" t="s">
        <v>78</v>
      </c>
      <c r="AR229" s="12" t="s">
        <v>79</v>
      </c>
      <c r="AS229" s="12" t="s">
        <v>1399</v>
      </c>
      <c r="AT229" s="12" t="s">
        <v>80</v>
      </c>
      <c r="AU229" s="12" t="s">
        <v>726</v>
      </c>
      <c r="AV229" s="12">
        <v>1</v>
      </c>
      <c r="AW229" s="12">
        <v>1</v>
      </c>
      <c r="AX229" s="12" t="s">
        <v>81</v>
      </c>
      <c r="AY229" s="12" t="s">
        <v>82</v>
      </c>
      <c r="AZ229" s="12" t="s">
        <v>83</v>
      </c>
      <c r="BA229" s="12" t="s">
        <v>84</v>
      </c>
      <c r="BB229" s="12"/>
      <c r="BC229" s="27" t="s">
        <v>1939</v>
      </c>
      <c r="BD229" s="27" t="s">
        <v>1940</v>
      </c>
      <c r="BE229" s="12"/>
    </row>
    <row r="230" spans="1:57" x14ac:dyDescent="0.25">
      <c r="A230" s="12" t="s">
        <v>726</v>
      </c>
      <c r="B230" s="12" t="s">
        <v>57</v>
      </c>
      <c r="C230" s="25">
        <v>22170</v>
      </c>
      <c r="D230" s="12">
        <f t="shared" si="40"/>
        <v>255</v>
      </c>
      <c r="E230" s="23">
        <f t="shared" si="41"/>
        <v>255</v>
      </c>
      <c r="F230" s="12">
        <f t="shared" si="42"/>
        <v>1960</v>
      </c>
      <c r="G230" s="12">
        <f t="shared" si="43"/>
        <v>9</v>
      </c>
      <c r="H230" s="12">
        <f t="shared" si="44"/>
        <v>11</v>
      </c>
      <c r="I230" s="24">
        <f t="shared" si="48"/>
        <v>22170</v>
      </c>
      <c r="J230" s="12" t="s">
        <v>500</v>
      </c>
      <c r="K230" s="12" t="str">
        <f t="shared" si="45"/>
        <v>Sylvia borin (Boddaert, 1783)</v>
      </c>
      <c r="L230" s="12" t="str">
        <f t="shared" si="46"/>
        <v>Animalia|Chordata|Aves|Passeriformes|Sylviidae|Sylvia</v>
      </c>
      <c r="M230" s="12" t="s">
        <v>59</v>
      </c>
      <c r="N230" s="12" t="s">
        <v>60</v>
      </c>
      <c r="O230" s="12" t="s">
        <v>61</v>
      </c>
      <c r="P230" s="12" t="s">
        <v>62</v>
      </c>
      <c r="Q230" s="12" t="s">
        <v>723</v>
      </c>
      <c r="R230" s="12" t="s">
        <v>972</v>
      </c>
      <c r="S230" s="12" t="s">
        <v>727</v>
      </c>
      <c r="T230" s="12" t="s">
        <v>66</v>
      </c>
      <c r="U230" s="12" t="s">
        <v>728</v>
      </c>
      <c r="V230" s="12" t="s">
        <v>1165</v>
      </c>
      <c r="W230" s="12" t="s">
        <v>68</v>
      </c>
      <c r="X230" s="12">
        <v>44.33014</v>
      </c>
      <c r="Y230" s="12">
        <v>7.4859239999999998</v>
      </c>
      <c r="Z230" s="14" t="s">
        <v>69</v>
      </c>
      <c r="AA230" s="12">
        <v>1929</v>
      </c>
      <c r="AB230" s="12" t="str">
        <f t="shared" si="49"/>
        <v>44.33014/7.485924</v>
      </c>
      <c r="AC230" s="13" t="s">
        <v>1473</v>
      </c>
      <c r="AD230" s="25">
        <v>46054</v>
      </c>
      <c r="AE230" s="14" t="s">
        <v>70</v>
      </c>
      <c r="AF230" s="14" t="s">
        <v>71</v>
      </c>
      <c r="AG230" s="14" t="s">
        <v>72</v>
      </c>
      <c r="AH230" s="12" t="str">
        <f t="shared" si="47"/>
        <v>Europa | Italy | Piedmont | Borgo San Dalmazzo</v>
      </c>
      <c r="AI230" s="12" t="s">
        <v>73</v>
      </c>
      <c r="AJ230" s="12"/>
      <c r="AK230" s="12" t="s">
        <v>74</v>
      </c>
      <c r="AL230" s="12" t="str">
        <f t="shared" si="50"/>
        <v>ITA</v>
      </c>
      <c r="AM230" s="12" t="s">
        <v>90</v>
      </c>
      <c r="AN230" s="12" t="s">
        <v>160</v>
      </c>
      <c r="AO230" s="12" t="s">
        <v>57</v>
      </c>
      <c r="AP230" s="12" t="s">
        <v>77</v>
      </c>
      <c r="AQ230" s="12" t="s">
        <v>78</v>
      </c>
      <c r="AR230" s="12" t="s">
        <v>79</v>
      </c>
      <c r="AS230" s="12" t="s">
        <v>1400</v>
      </c>
      <c r="AT230" s="12" t="s">
        <v>80</v>
      </c>
      <c r="AU230" s="12" t="s">
        <v>729</v>
      </c>
      <c r="AV230" s="12">
        <v>1</v>
      </c>
      <c r="AW230" s="12">
        <v>1</v>
      </c>
      <c r="AX230" s="12" t="s">
        <v>81</v>
      </c>
      <c r="AY230" s="12" t="s">
        <v>82</v>
      </c>
      <c r="AZ230" s="12" t="s">
        <v>83</v>
      </c>
      <c r="BA230" s="12" t="s">
        <v>84</v>
      </c>
      <c r="BB230" s="12"/>
      <c r="BC230" s="27" t="s">
        <v>1941</v>
      </c>
      <c r="BD230" s="27" t="s">
        <v>1942</v>
      </c>
      <c r="BE230" s="12"/>
    </row>
    <row r="231" spans="1:57" x14ac:dyDescent="0.25">
      <c r="A231" s="12" t="s">
        <v>729</v>
      </c>
      <c r="B231" s="12" t="s">
        <v>57</v>
      </c>
      <c r="C231" s="25">
        <v>20938</v>
      </c>
      <c r="D231" s="12">
        <f t="shared" ref="D231:D294" si="55">IFERROR(C231-DATE(YEAR(C231),1,1)+1,"")</f>
        <v>118</v>
      </c>
      <c r="E231" s="23">
        <f t="shared" si="41"/>
        <v>118</v>
      </c>
      <c r="F231" s="12">
        <f t="shared" si="42"/>
        <v>1957</v>
      </c>
      <c r="G231" s="12">
        <f t="shared" si="43"/>
        <v>4</v>
      </c>
      <c r="H231" s="12">
        <f t="shared" si="44"/>
        <v>28</v>
      </c>
      <c r="I231" s="24">
        <f t="shared" si="48"/>
        <v>20938</v>
      </c>
      <c r="J231" s="12" t="s">
        <v>731</v>
      </c>
      <c r="K231" s="12" t="str">
        <f t="shared" si="45"/>
        <v>Phylloscopus sibilatrix (Bechstein, 1793)</v>
      </c>
      <c r="L231" s="12" t="str">
        <f t="shared" si="46"/>
        <v>Animalia|Chordata|Aves|Passeriformes|Phylloscopidae|Phylloscopus</v>
      </c>
      <c r="M231" s="12" t="s">
        <v>59</v>
      </c>
      <c r="N231" s="12" t="s">
        <v>60</v>
      </c>
      <c r="O231" s="12" t="s">
        <v>61</v>
      </c>
      <c r="P231" s="12" t="s">
        <v>62</v>
      </c>
      <c r="Q231" s="12" t="s">
        <v>732</v>
      </c>
      <c r="R231" s="12" t="s">
        <v>973</v>
      </c>
      <c r="S231" s="12" t="s">
        <v>733</v>
      </c>
      <c r="T231" s="12" t="s">
        <v>66</v>
      </c>
      <c r="U231" s="12" t="s">
        <v>734</v>
      </c>
      <c r="V231" s="12"/>
      <c r="W231" s="12" t="s">
        <v>68</v>
      </c>
      <c r="X231" s="12">
        <v>40.970559000000002</v>
      </c>
      <c r="Y231" s="12">
        <v>13.054792000000001</v>
      </c>
      <c r="Z231" s="14" t="s">
        <v>69</v>
      </c>
      <c r="AA231" s="12">
        <v>834</v>
      </c>
      <c r="AB231" s="12" t="str">
        <f t="shared" si="49"/>
        <v>40.970559/13.054792</v>
      </c>
      <c r="AC231" s="13" t="s">
        <v>1473</v>
      </c>
      <c r="AD231" s="25">
        <v>46054</v>
      </c>
      <c r="AE231" s="14" t="s">
        <v>70</v>
      </c>
      <c r="AF231" s="14" t="s">
        <v>71</v>
      </c>
      <c r="AG231" s="14" t="s">
        <v>72</v>
      </c>
      <c r="AH231" s="12" t="str">
        <f t="shared" si="47"/>
        <v>Europa | Zannone | Italy | Lazio | Zannone Island</v>
      </c>
      <c r="AI231" s="12" t="s">
        <v>73</v>
      </c>
      <c r="AJ231" s="12" t="s">
        <v>1486</v>
      </c>
      <c r="AK231" s="12" t="s">
        <v>74</v>
      </c>
      <c r="AL231" s="12" t="str">
        <f t="shared" si="50"/>
        <v>ITA</v>
      </c>
      <c r="AM231" s="12" t="s">
        <v>75</v>
      </c>
      <c r="AN231" s="12" t="s">
        <v>458</v>
      </c>
      <c r="AO231" s="12" t="s">
        <v>57</v>
      </c>
      <c r="AP231" s="12" t="s">
        <v>77</v>
      </c>
      <c r="AQ231" s="12" t="s">
        <v>78</v>
      </c>
      <c r="AR231" s="12" t="s">
        <v>79</v>
      </c>
      <c r="AS231" s="12" t="s">
        <v>1401</v>
      </c>
      <c r="AT231" s="12" t="s">
        <v>80</v>
      </c>
      <c r="AU231" s="12" t="s">
        <v>730</v>
      </c>
      <c r="AV231" s="12">
        <v>1</v>
      </c>
      <c r="AW231" s="12">
        <v>1</v>
      </c>
      <c r="AX231" s="12" t="s">
        <v>81</v>
      </c>
      <c r="AY231" s="12" t="s">
        <v>82</v>
      </c>
      <c r="AZ231" s="12" t="s">
        <v>83</v>
      </c>
      <c r="BA231" s="12" t="s">
        <v>84</v>
      </c>
      <c r="BB231" s="12"/>
      <c r="BC231" s="27" t="s">
        <v>1943</v>
      </c>
      <c r="BD231" s="27" t="s">
        <v>1944</v>
      </c>
      <c r="BE231" s="12"/>
    </row>
    <row r="232" spans="1:57" x14ac:dyDescent="0.25">
      <c r="A232" s="12" t="s">
        <v>730</v>
      </c>
      <c r="B232" s="12" t="s">
        <v>57</v>
      </c>
      <c r="C232" s="25">
        <v>20469</v>
      </c>
      <c r="D232" s="12">
        <f t="shared" si="55"/>
        <v>15</v>
      </c>
      <c r="E232" s="23">
        <f t="shared" si="41"/>
        <v>15</v>
      </c>
      <c r="F232" s="12">
        <f t="shared" si="42"/>
        <v>1956</v>
      </c>
      <c r="G232" s="12">
        <f t="shared" si="43"/>
        <v>1</v>
      </c>
      <c r="H232" s="12">
        <f t="shared" si="44"/>
        <v>15</v>
      </c>
      <c r="I232" s="24">
        <f t="shared" si="48"/>
        <v>20469</v>
      </c>
      <c r="J232" s="12" t="s">
        <v>58</v>
      </c>
      <c r="K232" s="12" t="str">
        <f t="shared" si="45"/>
        <v>Regulus regulus (Linnaeus, 1758)</v>
      </c>
      <c r="L232" s="12" t="str">
        <f t="shared" si="46"/>
        <v>Animalia|Chordata|Aves|Passeriformes|Regulidae|Regulus</v>
      </c>
      <c r="M232" s="12" t="s">
        <v>59</v>
      </c>
      <c r="N232" s="12" t="s">
        <v>60</v>
      </c>
      <c r="O232" s="12" t="s">
        <v>61</v>
      </c>
      <c r="P232" s="12" t="s">
        <v>62</v>
      </c>
      <c r="Q232" s="12" t="s">
        <v>736</v>
      </c>
      <c r="R232" s="12" t="s">
        <v>974</v>
      </c>
      <c r="S232" s="12" t="s">
        <v>737</v>
      </c>
      <c r="T232" s="12" t="s">
        <v>66</v>
      </c>
      <c r="U232" s="12" t="s">
        <v>738</v>
      </c>
      <c r="V232" s="12" t="s">
        <v>1165</v>
      </c>
      <c r="W232" s="12" t="s">
        <v>68</v>
      </c>
      <c r="X232" s="12">
        <v>44.33014</v>
      </c>
      <c r="Y232" s="12">
        <v>7.4859239999999998</v>
      </c>
      <c r="Z232" s="14" t="s">
        <v>69</v>
      </c>
      <c r="AA232" s="12">
        <v>1929</v>
      </c>
      <c r="AB232" s="12" t="str">
        <f t="shared" si="49"/>
        <v>44.33014/7.485924</v>
      </c>
      <c r="AC232" s="13" t="s">
        <v>1473</v>
      </c>
      <c r="AD232" s="25">
        <v>46054</v>
      </c>
      <c r="AE232" s="14" t="s">
        <v>70</v>
      </c>
      <c r="AF232" s="14" t="s">
        <v>71</v>
      </c>
      <c r="AG232" s="14" t="s">
        <v>72</v>
      </c>
      <c r="AH232" s="12" t="str">
        <f t="shared" si="47"/>
        <v>Europa | Italy | Piedmont | Borgo San Dalmazzo</v>
      </c>
      <c r="AI232" s="12" t="s">
        <v>73</v>
      </c>
      <c r="AJ232" s="12"/>
      <c r="AK232" s="12" t="s">
        <v>74</v>
      </c>
      <c r="AL232" s="12" t="str">
        <f t="shared" si="50"/>
        <v>ITA</v>
      </c>
      <c r="AM232" s="12" t="s">
        <v>90</v>
      </c>
      <c r="AN232" s="12" t="s">
        <v>160</v>
      </c>
      <c r="AO232" s="12" t="s">
        <v>57</v>
      </c>
      <c r="AP232" s="12" t="s">
        <v>77</v>
      </c>
      <c r="AQ232" s="12" t="s">
        <v>78</v>
      </c>
      <c r="AR232" s="12" t="s">
        <v>79</v>
      </c>
      <c r="AS232" s="12" t="s">
        <v>1402</v>
      </c>
      <c r="AT232" s="12" t="s">
        <v>80</v>
      </c>
      <c r="AU232" s="12" t="s">
        <v>735</v>
      </c>
      <c r="AV232" s="12">
        <v>1</v>
      </c>
      <c r="AW232" s="12">
        <v>1</v>
      </c>
      <c r="AX232" s="12" t="s">
        <v>81</v>
      </c>
      <c r="AY232" s="12" t="s">
        <v>82</v>
      </c>
      <c r="AZ232" s="12" t="s">
        <v>83</v>
      </c>
      <c r="BA232" s="12" t="s">
        <v>84</v>
      </c>
      <c r="BB232" s="12"/>
      <c r="BC232" s="27" t="s">
        <v>1945</v>
      </c>
      <c r="BD232" s="27" t="s">
        <v>1946</v>
      </c>
      <c r="BE232" s="12"/>
    </row>
    <row r="233" spans="1:57" x14ac:dyDescent="0.25">
      <c r="A233" s="12" t="s">
        <v>735</v>
      </c>
      <c r="B233" s="12" t="s">
        <v>57</v>
      </c>
      <c r="C233" s="12">
        <v>1972</v>
      </c>
      <c r="D233" s="12"/>
      <c r="E233" s="23"/>
      <c r="F233" s="12">
        <f t="shared" si="42"/>
        <v>1972</v>
      </c>
      <c r="G233" s="12"/>
      <c r="H233" s="12"/>
      <c r="I233" s="24">
        <f t="shared" si="48"/>
        <v>1972</v>
      </c>
      <c r="J233" s="12" t="s">
        <v>740</v>
      </c>
      <c r="K233" s="12" t="str">
        <f t="shared" si="45"/>
        <v>Cettia cetti (Temminck, 1820)</v>
      </c>
      <c r="L233" s="12" t="str">
        <f t="shared" si="46"/>
        <v>Animalia|Chordata|Aves|Passeriformes|Cettiidae|Cettia</v>
      </c>
      <c r="M233" s="12" t="s">
        <v>59</v>
      </c>
      <c r="N233" s="12" t="s">
        <v>60</v>
      </c>
      <c r="O233" s="12" t="s">
        <v>61</v>
      </c>
      <c r="P233" s="12" t="s">
        <v>62</v>
      </c>
      <c r="Q233" s="12" t="s">
        <v>741</v>
      </c>
      <c r="R233" s="12" t="s">
        <v>975</v>
      </c>
      <c r="S233" s="12" t="s">
        <v>742</v>
      </c>
      <c r="T233" s="12" t="s">
        <v>66</v>
      </c>
      <c r="U233" s="12" t="s">
        <v>743</v>
      </c>
      <c r="V233" s="12" t="s">
        <v>1165</v>
      </c>
      <c r="W233" s="12" t="s">
        <v>68</v>
      </c>
      <c r="X233" s="12">
        <v>42.240735999999998</v>
      </c>
      <c r="Y233" s="12">
        <v>12.217869</v>
      </c>
      <c r="Z233" s="14" t="s">
        <v>69</v>
      </c>
      <c r="AA233" s="12">
        <v>1728</v>
      </c>
      <c r="AB233" s="12" t="str">
        <f t="shared" si="49"/>
        <v>42.240736/12.217869</v>
      </c>
      <c r="AC233" s="13" t="s">
        <v>1473</v>
      </c>
      <c r="AD233" s="25">
        <v>46054</v>
      </c>
      <c r="AE233" s="14" t="s">
        <v>70</v>
      </c>
      <c r="AF233" s="14" t="s">
        <v>71</v>
      </c>
      <c r="AG233" s="14" t="s">
        <v>72</v>
      </c>
      <c r="AH233" s="12" t="str">
        <f t="shared" si="47"/>
        <v>Europa | Italy | Lazio | Sutri</v>
      </c>
      <c r="AI233" s="12" t="s">
        <v>73</v>
      </c>
      <c r="AJ233" s="12"/>
      <c r="AK233" s="12" t="s">
        <v>74</v>
      </c>
      <c r="AL233" s="12" t="str">
        <f t="shared" si="50"/>
        <v>ITA</v>
      </c>
      <c r="AM233" s="12" t="s">
        <v>75</v>
      </c>
      <c r="AN233" s="12" t="s">
        <v>744</v>
      </c>
      <c r="AO233" s="12" t="s">
        <v>57</v>
      </c>
      <c r="AP233" s="12" t="s">
        <v>77</v>
      </c>
      <c r="AQ233" s="12" t="s">
        <v>78</v>
      </c>
      <c r="AR233" s="12" t="s">
        <v>79</v>
      </c>
      <c r="AS233" s="12" t="s">
        <v>1403</v>
      </c>
      <c r="AT233" s="12"/>
      <c r="AU233" s="12" t="s">
        <v>739</v>
      </c>
      <c r="AV233" s="12">
        <v>1</v>
      </c>
      <c r="AW233" s="12">
        <v>1</v>
      </c>
      <c r="AX233" s="12" t="s">
        <v>81</v>
      </c>
      <c r="AY233" s="12" t="s">
        <v>82</v>
      </c>
      <c r="AZ233" s="12" t="s">
        <v>83</v>
      </c>
      <c r="BA233" s="12" t="s">
        <v>84</v>
      </c>
      <c r="BB233" s="12"/>
      <c r="BC233" s="27" t="s">
        <v>1947</v>
      </c>
      <c r="BD233" s="27" t="s">
        <v>1948</v>
      </c>
      <c r="BE233" s="12"/>
    </row>
    <row r="234" spans="1:57" x14ac:dyDescent="0.25">
      <c r="A234" s="12" t="s">
        <v>739</v>
      </c>
      <c r="B234" s="12" t="s">
        <v>57</v>
      </c>
      <c r="C234" s="25">
        <v>18924</v>
      </c>
      <c r="D234" s="12">
        <f t="shared" si="55"/>
        <v>296</v>
      </c>
      <c r="E234" s="23">
        <f t="shared" si="41"/>
        <v>296</v>
      </c>
      <c r="F234" s="12">
        <f t="shared" si="42"/>
        <v>1951</v>
      </c>
      <c r="G234" s="12">
        <f t="shared" si="43"/>
        <v>10</v>
      </c>
      <c r="H234" s="12">
        <f t="shared" si="44"/>
        <v>23</v>
      </c>
      <c r="I234" s="24">
        <f t="shared" si="48"/>
        <v>18924</v>
      </c>
      <c r="J234" s="12" t="s">
        <v>58</v>
      </c>
      <c r="K234" s="12" t="str">
        <f t="shared" si="45"/>
        <v>Regulus regulus (Linnaeus, 1758)</v>
      </c>
      <c r="L234" s="12" t="str">
        <f t="shared" si="46"/>
        <v>Animalia|Chordata|Aves|Passeriformes|Regulidae|Regulus</v>
      </c>
      <c r="M234" s="12" t="s">
        <v>59</v>
      </c>
      <c r="N234" s="12" t="s">
        <v>60</v>
      </c>
      <c r="O234" s="12" t="s">
        <v>61</v>
      </c>
      <c r="P234" s="12" t="s">
        <v>62</v>
      </c>
      <c r="Q234" s="12" t="s">
        <v>736</v>
      </c>
      <c r="R234" s="12" t="s">
        <v>974</v>
      </c>
      <c r="S234" s="12" t="s">
        <v>737</v>
      </c>
      <c r="T234" s="12" t="s">
        <v>66</v>
      </c>
      <c r="U234" s="12" t="s">
        <v>738</v>
      </c>
      <c r="V234" s="12"/>
      <c r="W234" s="12" t="s">
        <v>68</v>
      </c>
      <c r="X234" s="12">
        <v>45.416666999999997</v>
      </c>
      <c r="Y234" s="12">
        <v>11.883333</v>
      </c>
      <c r="Z234" s="14" t="s">
        <v>69</v>
      </c>
      <c r="AA234" s="12">
        <v>7350</v>
      </c>
      <c r="AB234" s="12" t="str">
        <f t="shared" si="49"/>
        <v>45.416667/11.883333</v>
      </c>
      <c r="AC234" s="13" t="s">
        <v>1473</v>
      </c>
      <c r="AD234" s="25">
        <v>46054</v>
      </c>
      <c r="AE234" s="14" t="s">
        <v>70</v>
      </c>
      <c r="AF234" s="14" t="s">
        <v>71</v>
      </c>
      <c r="AG234" s="14" t="s">
        <v>72</v>
      </c>
      <c r="AH234" s="12" t="str">
        <f t="shared" si="47"/>
        <v>Europa | Italy | Veneto | Padua</v>
      </c>
      <c r="AI234" s="12" t="s">
        <v>73</v>
      </c>
      <c r="AJ234" s="12"/>
      <c r="AK234" s="12" t="s">
        <v>74</v>
      </c>
      <c r="AL234" s="12" t="str">
        <f t="shared" si="50"/>
        <v>ITA</v>
      </c>
      <c r="AM234" s="12" t="s">
        <v>150</v>
      </c>
      <c r="AN234" s="12" t="s">
        <v>151</v>
      </c>
      <c r="AO234" s="12" t="s">
        <v>57</v>
      </c>
      <c r="AP234" s="12" t="s">
        <v>77</v>
      </c>
      <c r="AQ234" s="12" t="s">
        <v>78</v>
      </c>
      <c r="AR234" s="12" t="s">
        <v>79</v>
      </c>
      <c r="AS234" s="12" t="s">
        <v>1404</v>
      </c>
      <c r="AT234" s="12"/>
      <c r="AU234" s="12" t="s">
        <v>745</v>
      </c>
      <c r="AV234" s="12">
        <v>1</v>
      </c>
      <c r="AW234" s="12">
        <v>1</v>
      </c>
      <c r="AX234" s="12" t="s">
        <v>81</v>
      </c>
      <c r="AY234" s="12" t="s">
        <v>82</v>
      </c>
      <c r="AZ234" s="12" t="s">
        <v>83</v>
      </c>
      <c r="BA234" s="12" t="s">
        <v>84</v>
      </c>
      <c r="BB234" s="12"/>
      <c r="BC234" s="27" t="s">
        <v>1949</v>
      </c>
      <c r="BD234" s="27" t="s">
        <v>1950</v>
      </c>
      <c r="BE234" s="12"/>
    </row>
    <row r="235" spans="1:57" x14ac:dyDescent="0.25">
      <c r="A235" s="12" t="s">
        <v>745</v>
      </c>
      <c r="B235" s="12" t="s">
        <v>57</v>
      </c>
      <c r="C235" s="25">
        <v>21841</v>
      </c>
      <c r="D235" s="12">
        <f t="shared" si="55"/>
        <v>291</v>
      </c>
      <c r="E235" s="23">
        <f t="shared" si="41"/>
        <v>291</v>
      </c>
      <c r="F235" s="12">
        <f t="shared" si="42"/>
        <v>1959</v>
      </c>
      <c r="G235" s="12">
        <f t="shared" si="43"/>
        <v>10</v>
      </c>
      <c r="H235" s="12">
        <f t="shared" si="44"/>
        <v>18</v>
      </c>
      <c r="I235" s="24">
        <f t="shared" si="48"/>
        <v>21841</v>
      </c>
      <c r="J235" s="12" t="s">
        <v>58</v>
      </c>
      <c r="K235" s="12" t="str">
        <f t="shared" si="45"/>
        <v>Sylvia atricapilla (Linnaeus, 1758)</v>
      </c>
      <c r="L235" s="12" t="str">
        <f t="shared" si="46"/>
        <v>Animalia|Chordata|Aves|Passeriformes|Sylviidae|Sylvia</v>
      </c>
      <c r="M235" s="12" t="s">
        <v>59</v>
      </c>
      <c r="N235" s="12" t="s">
        <v>60</v>
      </c>
      <c r="O235" s="12" t="s">
        <v>61</v>
      </c>
      <c r="P235" s="12" t="s">
        <v>62</v>
      </c>
      <c r="Q235" s="12" t="s">
        <v>723</v>
      </c>
      <c r="R235" s="12" t="s">
        <v>972</v>
      </c>
      <c r="S235" s="12" t="s">
        <v>747</v>
      </c>
      <c r="T235" s="12" t="s">
        <v>66</v>
      </c>
      <c r="U235" s="12" t="s">
        <v>748</v>
      </c>
      <c r="V235" s="12" t="s">
        <v>1165</v>
      </c>
      <c r="W235" s="12" t="s">
        <v>68</v>
      </c>
      <c r="X235" s="12">
        <v>44.33014</v>
      </c>
      <c r="Y235" s="12">
        <v>7.4859239999999998</v>
      </c>
      <c r="Z235" s="14" t="s">
        <v>69</v>
      </c>
      <c r="AA235" s="12">
        <v>1929</v>
      </c>
      <c r="AB235" s="12" t="str">
        <f t="shared" si="49"/>
        <v>44.33014/7.485924</v>
      </c>
      <c r="AC235" s="13" t="s">
        <v>1473</v>
      </c>
      <c r="AD235" s="25">
        <v>46054</v>
      </c>
      <c r="AE235" s="14" t="s">
        <v>70</v>
      </c>
      <c r="AF235" s="14" t="s">
        <v>71</v>
      </c>
      <c r="AG235" s="14" t="s">
        <v>72</v>
      </c>
      <c r="AH235" s="12" t="str">
        <f t="shared" si="47"/>
        <v>Europa | Italy | Piedmont | Borgo San Dalmazzo</v>
      </c>
      <c r="AI235" s="12" t="s">
        <v>73</v>
      </c>
      <c r="AJ235" s="12"/>
      <c r="AK235" s="12" t="s">
        <v>74</v>
      </c>
      <c r="AL235" s="12" t="str">
        <f t="shared" si="50"/>
        <v>ITA</v>
      </c>
      <c r="AM235" s="12" t="s">
        <v>90</v>
      </c>
      <c r="AN235" s="12" t="s">
        <v>160</v>
      </c>
      <c r="AO235" s="12" t="s">
        <v>57</v>
      </c>
      <c r="AP235" s="12" t="s">
        <v>77</v>
      </c>
      <c r="AQ235" s="12" t="s">
        <v>78</v>
      </c>
      <c r="AR235" s="12" t="s">
        <v>79</v>
      </c>
      <c r="AS235" s="12" t="s">
        <v>1405</v>
      </c>
      <c r="AT235" s="12" t="s">
        <v>92</v>
      </c>
      <c r="AU235" s="12" t="s">
        <v>746</v>
      </c>
      <c r="AV235" s="12">
        <v>1</v>
      </c>
      <c r="AW235" s="12">
        <v>1</v>
      </c>
      <c r="AX235" s="12" t="s">
        <v>81</v>
      </c>
      <c r="AY235" s="12" t="s">
        <v>82</v>
      </c>
      <c r="AZ235" s="12" t="s">
        <v>83</v>
      </c>
      <c r="BA235" s="12" t="s">
        <v>84</v>
      </c>
      <c r="BB235" s="12"/>
      <c r="BC235" s="27" t="s">
        <v>1951</v>
      </c>
      <c r="BD235" s="27" t="s">
        <v>1952</v>
      </c>
      <c r="BE235" s="12"/>
    </row>
    <row r="236" spans="1:57" x14ac:dyDescent="0.25">
      <c r="A236" s="12" t="s">
        <v>746</v>
      </c>
      <c r="B236" s="12" t="s">
        <v>57</v>
      </c>
      <c r="C236" s="12">
        <v>1960</v>
      </c>
      <c r="D236" s="12"/>
      <c r="E236" s="23"/>
      <c r="F236" s="12">
        <f t="shared" si="42"/>
        <v>1960</v>
      </c>
      <c r="G236" s="12"/>
      <c r="H236" s="12"/>
      <c r="I236" s="24">
        <f t="shared" si="48"/>
        <v>1960</v>
      </c>
      <c r="J236" s="12" t="s">
        <v>58</v>
      </c>
      <c r="K236" s="12" t="str">
        <f t="shared" si="45"/>
        <v>Sylvia atricapilla (Linnaeus, 1758)</v>
      </c>
      <c r="L236" s="12" t="str">
        <f t="shared" si="46"/>
        <v>Animalia|Chordata|Aves|Passeriformes|Sylviidae|Sylvia</v>
      </c>
      <c r="M236" s="12" t="s">
        <v>59</v>
      </c>
      <c r="N236" s="12" t="s">
        <v>60</v>
      </c>
      <c r="O236" s="12" t="s">
        <v>61</v>
      </c>
      <c r="P236" s="12" t="s">
        <v>62</v>
      </c>
      <c r="Q236" s="12" t="s">
        <v>723</v>
      </c>
      <c r="R236" s="12" t="s">
        <v>972</v>
      </c>
      <c r="S236" s="12" t="s">
        <v>747</v>
      </c>
      <c r="T236" s="12" t="s">
        <v>66</v>
      </c>
      <c r="U236" s="12" t="s">
        <v>748</v>
      </c>
      <c r="V236" s="12" t="s">
        <v>1167</v>
      </c>
      <c r="W236" s="12" t="s">
        <v>68</v>
      </c>
      <c r="X236" s="12">
        <v>44.33014</v>
      </c>
      <c r="Y236" s="12">
        <v>7.4859239999999998</v>
      </c>
      <c r="Z236" s="14" t="s">
        <v>69</v>
      </c>
      <c r="AA236" s="12">
        <v>1929</v>
      </c>
      <c r="AB236" s="12" t="str">
        <f t="shared" si="49"/>
        <v>44.33014/7.485924</v>
      </c>
      <c r="AC236" s="13" t="s">
        <v>1473</v>
      </c>
      <c r="AD236" s="25">
        <v>46054</v>
      </c>
      <c r="AE236" s="14" t="s">
        <v>70</v>
      </c>
      <c r="AF236" s="14" t="s">
        <v>71</v>
      </c>
      <c r="AG236" s="14" t="s">
        <v>72</v>
      </c>
      <c r="AH236" s="12" t="str">
        <f t="shared" si="47"/>
        <v>Europa | Italy | Piedmont | Piano Quinto</v>
      </c>
      <c r="AI236" s="12" t="s">
        <v>73</v>
      </c>
      <c r="AJ236" s="12"/>
      <c r="AK236" s="12" t="s">
        <v>74</v>
      </c>
      <c r="AL236" s="12" t="str">
        <f t="shared" si="50"/>
        <v>ITA</v>
      </c>
      <c r="AM236" s="12" t="s">
        <v>90</v>
      </c>
      <c r="AN236" s="12" t="s">
        <v>687</v>
      </c>
      <c r="AO236" s="12" t="s">
        <v>57</v>
      </c>
      <c r="AP236" s="12" t="s">
        <v>77</v>
      </c>
      <c r="AQ236" s="12" t="s">
        <v>78</v>
      </c>
      <c r="AR236" s="12" t="s">
        <v>79</v>
      </c>
      <c r="AS236" s="12" t="s">
        <v>1406</v>
      </c>
      <c r="AT236" s="12" t="s">
        <v>80</v>
      </c>
      <c r="AU236" s="12" t="s">
        <v>749</v>
      </c>
      <c r="AV236" s="12">
        <v>1</v>
      </c>
      <c r="AW236" s="12">
        <v>1</v>
      </c>
      <c r="AX236" s="12" t="s">
        <v>81</v>
      </c>
      <c r="AY236" s="12" t="s">
        <v>82</v>
      </c>
      <c r="AZ236" s="12" t="s">
        <v>83</v>
      </c>
      <c r="BA236" s="12" t="s">
        <v>84</v>
      </c>
      <c r="BB236" s="12"/>
      <c r="BC236" s="27" t="s">
        <v>1953</v>
      </c>
      <c r="BD236" s="27" t="s">
        <v>1954</v>
      </c>
      <c r="BE236" s="12"/>
    </row>
    <row r="237" spans="1:57" x14ac:dyDescent="0.25">
      <c r="A237" s="12" t="s">
        <v>749</v>
      </c>
      <c r="B237" s="12" t="s">
        <v>57</v>
      </c>
      <c r="C237" s="25">
        <v>21813</v>
      </c>
      <c r="D237" s="12">
        <f t="shared" si="55"/>
        <v>263</v>
      </c>
      <c r="E237" s="23">
        <f t="shared" si="41"/>
        <v>263</v>
      </c>
      <c r="F237" s="12">
        <f t="shared" si="42"/>
        <v>1959</v>
      </c>
      <c r="G237" s="12">
        <f t="shared" si="43"/>
        <v>9</v>
      </c>
      <c r="H237" s="12">
        <f t="shared" si="44"/>
        <v>20</v>
      </c>
      <c r="I237" s="24">
        <f t="shared" si="48"/>
        <v>21813</v>
      </c>
      <c r="J237" s="12" t="s">
        <v>58</v>
      </c>
      <c r="K237" s="12" t="str">
        <f t="shared" si="45"/>
        <v>Sylvia atricapilla (Linnaeus, 1758)</v>
      </c>
      <c r="L237" s="12" t="str">
        <f t="shared" si="46"/>
        <v>Animalia|Chordata|Aves|Passeriformes|Sylviidae|Sylvia</v>
      </c>
      <c r="M237" s="12" t="s">
        <v>59</v>
      </c>
      <c r="N237" s="12" t="s">
        <v>60</v>
      </c>
      <c r="O237" s="12" t="s">
        <v>61</v>
      </c>
      <c r="P237" s="12" t="s">
        <v>62</v>
      </c>
      <c r="Q237" s="12" t="s">
        <v>723</v>
      </c>
      <c r="R237" s="12" t="s">
        <v>972</v>
      </c>
      <c r="S237" s="12" t="s">
        <v>747</v>
      </c>
      <c r="T237" s="12" t="s">
        <v>66</v>
      </c>
      <c r="U237" s="12" t="s">
        <v>748</v>
      </c>
      <c r="V237" s="12" t="s">
        <v>1165</v>
      </c>
      <c r="W237" s="12" t="s">
        <v>68</v>
      </c>
      <c r="X237" s="12">
        <v>44.33014</v>
      </c>
      <c r="Y237" s="12">
        <v>7.4859239999999998</v>
      </c>
      <c r="Z237" s="14" t="s">
        <v>69</v>
      </c>
      <c r="AA237" s="12">
        <v>1929</v>
      </c>
      <c r="AB237" s="12" t="str">
        <f t="shared" si="49"/>
        <v>44.33014/7.485924</v>
      </c>
      <c r="AC237" s="13" t="s">
        <v>1473</v>
      </c>
      <c r="AD237" s="25">
        <v>46054</v>
      </c>
      <c r="AE237" s="14" t="s">
        <v>70</v>
      </c>
      <c r="AF237" s="14" t="s">
        <v>71</v>
      </c>
      <c r="AG237" s="14" t="s">
        <v>72</v>
      </c>
      <c r="AH237" s="12" t="str">
        <f t="shared" si="47"/>
        <v>Europa | Italy | Piedmont | Borgo San Dalmazzo</v>
      </c>
      <c r="AI237" s="12" t="s">
        <v>73</v>
      </c>
      <c r="AJ237" s="12"/>
      <c r="AK237" s="12" t="s">
        <v>74</v>
      </c>
      <c r="AL237" s="12" t="str">
        <f t="shared" si="50"/>
        <v>ITA</v>
      </c>
      <c r="AM237" s="12" t="s">
        <v>90</v>
      </c>
      <c r="AN237" s="12" t="s">
        <v>160</v>
      </c>
      <c r="AO237" s="12" t="s">
        <v>57</v>
      </c>
      <c r="AP237" s="12" t="s">
        <v>77</v>
      </c>
      <c r="AQ237" s="12" t="s">
        <v>78</v>
      </c>
      <c r="AR237" s="12" t="s">
        <v>79</v>
      </c>
      <c r="AS237" s="12" t="s">
        <v>1407</v>
      </c>
      <c r="AT237" s="12" t="s">
        <v>80</v>
      </c>
      <c r="AU237" s="12" t="s">
        <v>750</v>
      </c>
      <c r="AV237" s="12">
        <v>1</v>
      </c>
      <c r="AW237" s="12">
        <v>1</v>
      </c>
      <c r="AX237" s="12" t="s">
        <v>81</v>
      </c>
      <c r="AY237" s="12" t="s">
        <v>82</v>
      </c>
      <c r="AZ237" s="12" t="s">
        <v>83</v>
      </c>
      <c r="BA237" s="12" t="s">
        <v>93</v>
      </c>
      <c r="BB237" s="12"/>
      <c r="BC237" s="27" t="s">
        <v>1955</v>
      </c>
      <c r="BD237" s="27" t="s">
        <v>1956</v>
      </c>
      <c r="BE237" s="12"/>
    </row>
    <row r="238" spans="1:57" x14ac:dyDescent="0.25">
      <c r="A238" s="12" t="s">
        <v>750</v>
      </c>
      <c r="B238" s="12" t="s">
        <v>57</v>
      </c>
      <c r="C238" s="25">
        <v>21087</v>
      </c>
      <c r="D238" s="12">
        <f t="shared" si="55"/>
        <v>267</v>
      </c>
      <c r="E238" s="23">
        <f t="shared" si="41"/>
        <v>267</v>
      </c>
      <c r="F238" s="12">
        <f t="shared" si="42"/>
        <v>1957</v>
      </c>
      <c r="G238" s="12">
        <f t="shared" si="43"/>
        <v>9</v>
      </c>
      <c r="H238" s="12">
        <f t="shared" si="44"/>
        <v>24</v>
      </c>
      <c r="I238" s="24">
        <f t="shared" si="48"/>
        <v>21087</v>
      </c>
      <c r="J238" s="12" t="s">
        <v>58</v>
      </c>
      <c r="K238" s="12" t="str">
        <f t="shared" si="45"/>
        <v>Nucifraga caryocatactes (Linnaeus, 1758)</v>
      </c>
      <c r="L238" s="12" t="str">
        <f t="shared" si="46"/>
        <v>Animalia|Chordata|Aves|Passeriformes|Corvidae|Nucifraga</v>
      </c>
      <c r="M238" s="12" t="s">
        <v>59</v>
      </c>
      <c r="N238" s="12" t="s">
        <v>60</v>
      </c>
      <c r="O238" s="12" t="s">
        <v>61</v>
      </c>
      <c r="P238" s="12" t="s">
        <v>62</v>
      </c>
      <c r="Q238" s="12" t="s">
        <v>63</v>
      </c>
      <c r="R238" s="12" t="s">
        <v>99</v>
      </c>
      <c r="S238" s="12" t="s">
        <v>100</v>
      </c>
      <c r="T238" s="12" t="s">
        <v>66</v>
      </c>
      <c r="U238" s="12" t="s">
        <v>101</v>
      </c>
      <c r="V238" s="12" t="s">
        <v>1165</v>
      </c>
      <c r="W238" s="12" t="s">
        <v>68</v>
      </c>
      <c r="X238" s="12">
        <v>45.388095</v>
      </c>
      <c r="Y238" s="12">
        <v>11.794121000000001</v>
      </c>
      <c r="Z238" s="14" t="s">
        <v>69</v>
      </c>
      <c r="AA238" s="12">
        <v>1509</v>
      </c>
      <c r="AB238" s="12" t="str">
        <f t="shared" si="49"/>
        <v>45.388095/11.794121</v>
      </c>
      <c r="AC238" s="13" t="s">
        <v>1473</v>
      </c>
      <c r="AD238" s="25">
        <v>46054</v>
      </c>
      <c r="AE238" s="14" t="s">
        <v>70</v>
      </c>
      <c r="AF238" s="14" t="s">
        <v>71</v>
      </c>
      <c r="AG238" s="14" t="s">
        <v>72</v>
      </c>
      <c r="AH238" s="12" t="str">
        <f t="shared" si="47"/>
        <v>Europa | Italy | Piedmont | Cuneo</v>
      </c>
      <c r="AI238" s="12" t="s">
        <v>73</v>
      </c>
      <c r="AJ238" s="12"/>
      <c r="AK238" s="12" t="s">
        <v>74</v>
      </c>
      <c r="AL238" s="12" t="str">
        <f t="shared" si="50"/>
        <v>ITA</v>
      </c>
      <c r="AM238" s="12" t="s">
        <v>90</v>
      </c>
      <c r="AN238" s="12" t="s">
        <v>206</v>
      </c>
      <c r="AO238" s="12" t="s">
        <v>57</v>
      </c>
      <c r="AP238" s="12" t="s">
        <v>77</v>
      </c>
      <c r="AQ238" s="12" t="s">
        <v>78</v>
      </c>
      <c r="AR238" s="12" t="s">
        <v>79</v>
      </c>
      <c r="AS238" s="12" t="s">
        <v>1408</v>
      </c>
      <c r="AT238" s="12" t="s">
        <v>92</v>
      </c>
      <c r="AU238" s="12" t="s">
        <v>751</v>
      </c>
      <c r="AV238" s="12">
        <v>1</v>
      </c>
      <c r="AW238" s="12">
        <v>1</v>
      </c>
      <c r="AX238" s="12" t="s">
        <v>81</v>
      </c>
      <c r="AY238" s="12" t="s">
        <v>82</v>
      </c>
      <c r="AZ238" s="12" t="s">
        <v>83</v>
      </c>
      <c r="BA238" s="12" t="s">
        <v>84</v>
      </c>
      <c r="BB238" s="12"/>
      <c r="BC238" s="27" t="s">
        <v>1957</v>
      </c>
      <c r="BD238" s="27" t="s">
        <v>1958</v>
      </c>
      <c r="BE238" s="12"/>
    </row>
    <row r="239" spans="1:57" x14ac:dyDescent="0.25">
      <c r="A239" s="12" t="s">
        <v>751</v>
      </c>
      <c r="B239" s="12" t="s">
        <v>57</v>
      </c>
      <c r="C239" s="12">
        <v>1960</v>
      </c>
      <c r="D239" s="12"/>
      <c r="E239" s="23"/>
      <c r="F239" s="12">
        <f t="shared" si="42"/>
        <v>1960</v>
      </c>
      <c r="G239" s="12"/>
      <c r="H239" s="12"/>
      <c r="I239" s="24">
        <f t="shared" si="48"/>
        <v>1960</v>
      </c>
      <c r="J239" s="12" t="s">
        <v>58</v>
      </c>
      <c r="K239" s="12" t="str">
        <f t="shared" si="45"/>
        <v>Garrulus glandarius (Linnaeus, 1758)</v>
      </c>
      <c r="L239" s="12" t="str">
        <f t="shared" si="46"/>
        <v>Animalia|Chordata|Aves|Passeriformes|Corvidae|Garrulus</v>
      </c>
      <c r="M239" s="12" t="s">
        <v>59</v>
      </c>
      <c r="N239" s="12" t="s">
        <v>60</v>
      </c>
      <c r="O239" s="12" t="s">
        <v>61</v>
      </c>
      <c r="P239" s="12" t="s">
        <v>62</v>
      </c>
      <c r="Q239" s="12" t="s">
        <v>63</v>
      </c>
      <c r="R239" s="12" t="s">
        <v>64</v>
      </c>
      <c r="S239" s="12" t="s">
        <v>65</v>
      </c>
      <c r="T239" s="12" t="s">
        <v>66</v>
      </c>
      <c r="U239" s="12" t="s">
        <v>67</v>
      </c>
      <c r="V239" s="12" t="s">
        <v>1167</v>
      </c>
      <c r="W239" s="12" t="s">
        <v>68</v>
      </c>
      <c r="X239" s="12">
        <v>44.33014</v>
      </c>
      <c r="Y239" s="12">
        <v>7.4859239999999998</v>
      </c>
      <c r="Z239" s="14" t="s">
        <v>69</v>
      </c>
      <c r="AA239" s="12">
        <v>1929</v>
      </c>
      <c r="AB239" s="12" t="str">
        <f t="shared" si="49"/>
        <v>44.33014/7.485924</v>
      </c>
      <c r="AC239" s="13" t="s">
        <v>1473</v>
      </c>
      <c r="AD239" s="25">
        <v>46054</v>
      </c>
      <c r="AE239" s="14" t="s">
        <v>70</v>
      </c>
      <c r="AF239" s="14" t="s">
        <v>71</v>
      </c>
      <c r="AG239" s="14" t="s">
        <v>72</v>
      </c>
      <c r="AH239" s="12" t="str">
        <f t="shared" si="47"/>
        <v>Europa | Italy | Piedmont | Piano Quinto</v>
      </c>
      <c r="AI239" s="12" t="s">
        <v>73</v>
      </c>
      <c r="AJ239" s="12"/>
      <c r="AK239" s="12" t="s">
        <v>74</v>
      </c>
      <c r="AL239" s="12" t="str">
        <f t="shared" si="50"/>
        <v>ITA</v>
      </c>
      <c r="AM239" s="12" t="s">
        <v>90</v>
      </c>
      <c r="AN239" s="12" t="s">
        <v>687</v>
      </c>
      <c r="AO239" s="12" t="s">
        <v>57</v>
      </c>
      <c r="AP239" s="12" t="s">
        <v>77</v>
      </c>
      <c r="AQ239" s="12" t="s">
        <v>78</v>
      </c>
      <c r="AR239" s="12" t="s">
        <v>79</v>
      </c>
      <c r="AS239" s="12" t="s">
        <v>1409</v>
      </c>
      <c r="AT239" s="12"/>
      <c r="AU239" s="12" t="s">
        <v>752</v>
      </c>
      <c r="AV239" s="12">
        <v>1</v>
      </c>
      <c r="AW239" s="12">
        <v>1</v>
      </c>
      <c r="AX239" s="12" t="s">
        <v>81</v>
      </c>
      <c r="AY239" s="12" t="s">
        <v>82</v>
      </c>
      <c r="AZ239" s="12" t="s">
        <v>83</v>
      </c>
      <c r="BA239" s="12" t="s">
        <v>84</v>
      </c>
      <c r="BB239" s="12"/>
      <c r="BC239" s="27" t="s">
        <v>1959</v>
      </c>
      <c r="BD239" s="27" t="s">
        <v>1960</v>
      </c>
      <c r="BE239" s="12"/>
    </row>
    <row r="240" spans="1:57" x14ac:dyDescent="0.25">
      <c r="A240" s="12" t="s">
        <v>752</v>
      </c>
      <c r="B240" s="12" t="s">
        <v>57</v>
      </c>
      <c r="C240" s="25">
        <v>20774</v>
      </c>
      <c r="D240" s="12">
        <f t="shared" si="55"/>
        <v>320</v>
      </c>
      <c r="E240" s="23">
        <f t="shared" si="41"/>
        <v>320</v>
      </c>
      <c r="F240" s="12">
        <f t="shared" si="42"/>
        <v>1956</v>
      </c>
      <c r="G240" s="12">
        <f t="shared" si="43"/>
        <v>11</v>
      </c>
      <c r="H240" s="12">
        <f t="shared" si="44"/>
        <v>15</v>
      </c>
      <c r="I240" s="24">
        <f t="shared" si="48"/>
        <v>20774</v>
      </c>
      <c r="J240" s="12" t="s">
        <v>58</v>
      </c>
      <c r="K240" s="12" t="str">
        <f t="shared" si="45"/>
        <v>Garrulus glandarius (Linnaeus, 1758)</v>
      </c>
      <c r="L240" s="12" t="str">
        <f t="shared" si="46"/>
        <v>Animalia|Chordata|Aves|Passeriformes|Corvidae|Garrulus</v>
      </c>
      <c r="M240" s="12" t="s">
        <v>59</v>
      </c>
      <c r="N240" s="12" t="s">
        <v>60</v>
      </c>
      <c r="O240" s="12" t="s">
        <v>61</v>
      </c>
      <c r="P240" s="12" t="s">
        <v>62</v>
      </c>
      <c r="Q240" s="12" t="s">
        <v>63</v>
      </c>
      <c r="R240" s="12" t="s">
        <v>64</v>
      </c>
      <c r="S240" s="12" t="s">
        <v>65</v>
      </c>
      <c r="T240" s="12" t="s">
        <v>66</v>
      </c>
      <c r="U240" s="12" t="s">
        <v>67</v>
      </c>
      <c r="V240" s="12" t="s">
        <v>1165</v>
      </c>
      <c r="W240" s="12" t="s">
        <v>68</v>
      </c>
      <c r="X240" s="12">
        <v>44.33014</v>
      </c>
      <c r="Y240" s="12">
        <v>7.4859239999999998</v>
      </c>
      <c r="Z240" s="14" t="s">
        <v>69</v>
      </c>
      <c r="AA240" s="12">
        <v>1929</v>
      </c>
      <c r="AB240" s="12" t="str">
        <f t="shared" si="49"/>
        <v>44.33014/7.485924</v>
      </c>
      <c r="AC240" s="13" t="s">
        <v>1473</v>
      </c>
      <c r="AD240" s="25">
        <v>46054</v>
      </c>
      <c r="AE240" s="14" t="s">
        <v>70</v>
      </c>
      <c r="AF240" s="14" t="s">
        <v>71</v>
      </c>
      <c r="AG240" s="14" t="s">
        <v>72</v>
      </c>
      <c r="AH240" s="12" t="str">
        <f t="shared" si="47"/>
        <v>Europa | Italy | Piedmont | Borgo San Dalmazzo</v>
      </c>
      <c r="AI240" s="12" t="s">
        <v>73</v>
      </c>
      <c r="AJ240" s="12"/>
      <c r="AK240" s="12" t="s">
        <v>74</v>
      </c>
      <c r="AL240" s="12" t="str">
        <f t="shared" si="50"/>
        <v>ITA</v>
      </c>
      <c r="AM240" s="12" t="s">
        <v>90</v>
      </c>
      <c r="AN240" s="12" t="s">
        <v>160</v>
      </c>
      <c r="AO240" s="12" t="s">
        <v>57</v>
      </c>
      <c r="AP240" s="12" t="s">
        <v>77</v>
      </c>
      <c r="AQ240" s="12" t="s">
        <v>78</v>
      </c>
      <c r="AR240" s="12" t="s">
        <v>79</v>
      </c>
      <c r="AS240" s="12" t="s">
        <v>1410</v>
      </c>
      <c r="AT240" s="12" t="s">
        <v>92</v>
      </c>
      <c r="AU240" s="12" t="s">
        <v>753</v>
      </c>
      <c r="AV240" s="12">
        <v>1</v>
      </c>
      <c r="AW240" s="12">
        <v>1</v>
      </c>
      <c r="AX240" s="12" t="s">
        <v>81</v>
      </c>
      <c r="AY240" s="12" t="s">
        <v>82</v>
      </c>
      <c r="AZ240" s="12" t="s">
        <v>83</v>
      </c>
      <c r="BA240" s="12" t="s">
        <v>84</v>
      </c>
      <c r="BB240" s="12"/>
      <c r="BC240" s="27" t="s">
        <v>1961</v>
      </c>
      <c r="BD240" s="27" t="s">
        <v>1962</v>
      </c>
      <c r="BE240" s="12"/>
    </row>
    <row r="241" spans="1:57" x14ac:dyDescent="0.25">
      <c r="A241" s="12" t="s">
        <v>753</v>
      </c>
      <c r="B241" s="12" t="s">
        <v>57</v>
      </c>
      <c r="C241" s="25">
        <v>21139</v>
      </c>
      <c r="D241" s="12">
        <f t="shared" si="55"/>
        <v>319</v>
      </c>
      <c r="E241" s="23">
        <f t="shared" si="41"/>
        <v>319</v>
      </c>
      <c r="F241" s="12">
        <f t="shared" si="42"/>
        <v>1957</v>
      </c>
      <c r="G241" s="12">
        <f t="shared" si="43"/>
        <v>11</v>
      </c>
      <c r="H241" s="12">
        <f t="shared" si="44"/>
        <v>15</v>
      </c>
      <c r="I241" s="24">
        <f t="shared" si="48"/>
        <v>21139</v>
      </c>
      <c r="J241" s="12" t="s">
        <v>58</v>
      </c>
      <c r="K241" s="12" t="str">
        <f t="shared" si="45"/>
        <v>Pica pica (Linnaeus, 1758)</v>
      </c>
      <c r="L241" s="12" t="str">
        <f t="shared" si="46"/>
        <v>Animalia|Chordata|Aves|Passeriformes|Corvidae|Pica</v>
      </c>
      <c r="M241" s="12" t="s">
        <v>59</v>
      </c>
      <c r="N241" s="12" t="s">
        <v>60</v>
      </c>
      <c r="O241" s="12" t="s">
        <v>61</v>
      </c>
      <c r="P241" s="12" t="s">
        <v>62</v>
      </c>
      <c r="Q241" s="12" t="s">
        <v>63</v>
      </c>
      <c r="R241" s="12" t="s">
        <v>95</v>
      </c>
      <c r="S241" s="12" t="s">
        <v>96</v>
      </c>
      <c r="T241" s="12" t="s">
        <v>66</v>
      </c>
      <c r="U241" s="12" t="s">
        <v>97</v>
      </c>
      <c r="V241" s="12" t="s">
        <v>1165</v>
      </c>
      <c r="W241" s="12" t="s">
        <v>68</v>
      </c>
      <c r="X241" s="12">
        <v>44.33014</v>
      </c>
      <c r="Y241" s="12">
        <v>7.4859239999999998</v>
      </c>
      <c r="Z241" s="14" t="s">
        <v>69</v>
      </c>
      <c r="AA241" s="12">
        <v>1929</v>
      </c>
      <c r="AB241" s="12" t="str">
        <f t="shared" si="49"/>
        <v>44.33014/7.485924</v>
      </c>
      <c r="AC241" s="13" t="s">
        <v>1473</v>
      </c>
      <c r="AD241" s="25">
        <v>46054</v>
      </c>
      <c r="AE241" s="14" t="s">
        <v>70</v>
      </c>
      <c r="AF241" s="14" t="s">
        <v>71</v>
      </c>
      <c r="AG241" s="14" t="s">
        <v>72</v>
      </c>
      <c r="AH241" s="12" t="str">
        <f t="shared" si="47"/>
        <v>Europa | Italy | Piedmont | Borgo San Dalmazzo</v>
      </c>
      <c r="AI241" s="12" t="s">
        <v>73</v>
      </c>
      <c r="AJ241" s="12"/>
      <c r="AK241" s="12" t="s">
        <v>74</v>
      </c>
      <c r="AL241" s="12" t="str">
        <f t="shared" si="50"/>
        <v>ITA</v>
      </c>
      <c r="AM241" s="12" t="s">
        <v>90</v>
      </c>
      <c r="AN241" s="12" t="s">
        <v>160</v>
      </c>
      <c r="AO241" s="12" t="s">
        <v>57</v>
      </c>
      <c r="AP241" s="12" t="s">
        <v>77</v>
      </c>
      <c r="AQ241" s="12" t="s">
        <v>78</v>
      </c>
      <c r="AR241" s="12" t="s">
        <v>79</v>
      </c>
      <c r="AS241" s="12" t="s">
        <v>1411</v>
      </c>
      <c r="AT241" s="12" t="s">
        <v>80</v>
      </c>
      <c r="AU241" s="12" t="s">
        <v>754</v>
      </c>
      <c r="AV241" s="12">
        <v>1</v>
      </c>
      <c r="AW241" s="12">
        <v>1</v>
      </c>
      <c r="AX241" s="12" t="s">
        <v>81</v>
      </c>
      <c r="AY241" s="12" t="s">
        <v>82</v>
      </c>
      <c r="AZ241" s="12" t="s">
        <v>83</v>
      </c>
      <c r="BA241" s="12" t="s">
        <v>84</v>
      </c>
      <c r="BB241" s="12"/>
      <c r="BC241" s="27" t="s">
        <v>1963</v>
      </c>
      <c r="BD241" s="27" t="s">
        <v>1964</v>
      </c>
      <c r="BE241" s="12"/>
    </row>
    <row r="242" spans="1:57" x14ac:dyDescent="0.25">
      <c r="A242" s="12" t="s">
        <v>754</v>
      </c>
      <c r="B242" s="12" t="s">
        <v>57</v>
      </c>
      <c r="C242" s="25">
        <v>20768</v>
      </c>
      <c r="D242" s="12">
        <f t="shared" si="55"/>
        <v>314</v>
      </c>
      <c r="E242" s="23">
        <f t="shared" si="41"/>
        <v>314</v>
      </c>
      <c r="F242" s="12">
        <f t="shared" si="42"/>
        <v>1956</v>
      </c>
      <c r="G242" s="12">
        <f t="shared" si="43"/>
        <v>11</v>
      </c>
      <c r="H242" s="12">
        <f t="shared" si="44"/>
        <v>9</v>
      </c>
      <c r="I242" s="24">
        <f t="shared" si="48"/>
        <v>20768</v>
      </c>
      <c r="J242" s="12" t="s">
        <v>58</v>
      </c>
      <c r="K242" s="12" t="str">
        <f t="shared" si="45"/>
        <v>Pica pica (Linnaeus, 1758)</v>
      </c>
      <c r="L242" s="12" t="str">
        <f t="shared" si="46"/>
        <v>Animalia|Chordata|Aves|Passeriformes|Corvidae|Pica</v>
      </c>
      <c r="M242" s="12" t="s">
        <v>59</v>
      </c>
      <c r="N242" s="12" t="s">
        <v>60</v>
      </c>
      <c r="O242" s="12" t="s">
        <v>61</v>
      </c>
      <c r="P242" s="12" t="s">
        <v>62</v>
      </c>
      <c r="Q242" s="12" t="s">
        <v>63</v>
      </c>
      <c r="R242" s="12" t="s">
        <v>95</v>
      </c>
      <c r="S242" s="12" t="s">
        <v>96</v>
      </c>
      <c r="T242" s="12" t="s">
        <v>66</v>
      </c>
      <c r="U242" s="12" t="s">
        <v>97</v>
      </c>
      <c r="V242" s="12" t="s">
        <v>1165</v>
      </c>
      <c r="W242" s="12" t="s">
        <v>68</v>
      </c>
      <c r="X242" s="12">
        <v>44.33014</v>
      </c>
      <c r="Y242" s="12">
        <v>7.4859239999999998</v>
      </c>
      <c r="Z242" s="14" t="s">
        <v>69</v>
      </c>
      <c r="AA242" s="12">
        <v>1929</v>
      </c>
      <c r="AB242" s="12" t="str">
        <f t="shared" si="49"/>
        <v>44.33014/7.485924</v>
      </c>
      <c r="AC242" s="13" t="s">
        <v>1473</v>
      </c>
      <c r="AD242" s="25">
        <v>46054</v>
      </c>
      <c r="AE242" s="14" t="s">
        <v>70</v>
      </c>
      <c r="AF242" s="14" t="s">
        <v>71</v>
      </c>
      <c r="AG242" s="14" t="s">
        <v>72</v>
      </c>
      <c r="AH242" s="12" t="str">
        <f t="shared" si="47"/>
        <v>Europa | Italy | Piedmont | Borgo San Dalmazzo</v>
      </c>
      <c r="AI242" s="12" t="s">
        <v>73</v>
      </c>
      <c r="AJ242" s="12"/>
      <c r="AK242" s="12" t="s">
        <v>74</v>
      </c>
      <c r="AL242" s="12" t="str">
        <f t="shared" si="50"/>
        <v>ITA</v>
      </c>
      <c r="AM242" s="12" t="s">
        <v>90</v>
      </c>
      <c r="AN242" s="12" t="s">
        <v>160</v>
      </c>
      <c r="AO242" s="12" t="s">
        <v>57</v>
      </c>
      <c r="AP242" s="12" t="s">
        <v>77</v>
      </c>
      <c r="AQ242" s="12" t="s">
        <v>78</v>
      </c>
      <c r="AR242" s="12" t="s">
        <v>79</v>
      </c>
      <c r="AS242" s="12" t="s">
        <v>1412</v>
      </c>
      <c r="AT242" s="12" t="s">
        <v>92</v>
      </c>
      <c r="AU242" s="12" t="s">
        <v>755</v>
      </c>
      <c r="AV242" s="12">
        <v>1</v>
      </c>
      <c r="AW242" s="12">
        <v>1</v>
      </c>
      <c r="AX242" s="12" t="s">
        <v>81</v>
      </c>
      <c r="AY242" s="12" t="s">
        <v>82</v>
      </c>
      <c r="AZ242" s="12" t="s">
        <v>83</v>
      </c>
      <c r="BA242" s="12" t="s">
        <v>84</v>
      </c>
      <c r="BB242" s="12"/>
      <c r="BC242" s="27" t="s">
        <v>1965</v>
      </c>
      <c r="BD242" s="27" t="s">
        <v>1966</v>
      </c>
      <c r="BE242" s="12"/>
    </row>
    <row r="243" spans="1:57" x14ac:dyDescent="0.25">
      <c r="A243" s="12" t="s">
        <v>755</v>
      </c>
      <c r="B243" s="12" t="s">
        <v>57</v>
      </c>
      <c r="C243" s="25">
        <v>21364</v>
      </c>
      <c r="D243" s="12">
        <f t="shared" si="55"/>
        <v>179</v>
      </c>
      <c r="E243" s="23">
        <f t="shared" si="41"/>
        <v>179</v>
      </c>
      <c r="F243" s="12">
        <f t="shared" si="42"/>
        <v>1958</v>
      </c>
      <c r="G243" s="12">
        <f t="shared" si="43"/>
        <v>6</v>
      </c>
      <c r="H243" s="12">
        <f t="shared" si="44"/>
        <v>28</v>
      </c>
      <c r="I243" s="24">
        <f t="shared" si="48"/>
        <v>21364</v>
      </c>
      <c r="J243" s="12" t="s">
        <v>58</v>
      </c>
      <c r="K243" s="12" t="str">
        <f t="shared" si="45"/>
        <v>Lanius senator (Linnaeus, 1758)</v>
      </c>
      <c r="L243" s="12" t="str">
        <f t="shared" si="46"/>
        <v>Animalia|Chordata|Aves|Passeriformes|Laniidae|Lanius</v>
      </c>
      <c r="M243" s="12" t="s">
        <v>59</v>
      </c>
      <c r="N243" s="12" t="s">
        <v>60</v>
      </c>
      <c r="O243" s="12" t="s">
        <v>61</v>
      </c>
      <c r="P243" s="12" t="s">
        <v>62</v>
      </c>
      <c r="Q243" s="12" t="s">
        <v>757</v>
      </c>
      <c r="R243" s="12" t="s">
        <v>976</v>
      </c>
      <c r="S243" s="12" t="s">
        <v>758</v>
      </c>
      <c r="T243" s="12" t="s">
        <v>66</v>
      </c>
      <c r="U243" s="12" t="s">
        <v>759</v>
      </c>
      <c r="V243" s="12" t="s">
        <v>1165</v>
      </c>
      <c r="W243" s="12" t="s">
        <v>68</v>
      </c>
      <c r="X243" s="12">
        <v>45.388095</v>
      </c>
      <c r="Y243" s="12">
        <v>11.794121000000001</v>
      </c>
      <c r="Z243" s="14" t="s">
        <v>69</v>
      </c>
      <c r="AA243" s="12">
        <v>1509</v>
      </c>
      <c r="AB243" s="12" t="str">
        <f t="shared" si="49"/>
        <v>45.388095/11.794121</v>
      </c>
      <c r="AC243" s="13" t="s">
        <v>1473</v>
      </c>
      <c r="AD243" s="25">
        <v>46054</v>
      </c>
      <c r="AE243" s="14" t="s">
        <v>70</v>
      </c>
      <c r="AF243" s="14" t="s">
        <v>71</v>
      </c>
      <c r="AG243" s="14" t="s">
        <v>72</v>
      </c>
      <c r="AH243" s="12" t="str">
        <f t="shared" si="47"/>
        <v>Europa | Italy | Piedmont | Cuneo</v>
      </c>
      <c r="AI243" s="12" t="s">
        <v>73</v>
      </c>
      <c r="AJ243" s="12"/>
      <c r="AK243" s="12" t="s">
        <v>74</v>
      </c>
      <c r="AL243" s="12" t="str">
        <f t="shared" si="50"/>
        <v>ITA</v>
      </c>
      <c r="AM243" s="12" t="s">
        <v>90</v>
      </c>
      <c r="AN243" s="12" t="s">
        <v>206</v>
      </c>
      <c r="AO243" s="12" t="s">
        <v>57</v>
      </c>
      <c r="AP243" s="12" t="s">
        <v>77</v>
      </c>
      <c r="AQ243" s="12" t="s">
        <v>78</v>
      </c>
      <c r="AR243" s="12" t="s">
        <v>79</v>
      </c>
      <c r="AS243" s="12" t="s">
        <v>1413</v>
      </c>
      <c r="AT243" s="12" t="s">
        <v>92</v>
      </c>
      <c r="AU243" s="12" t="s">
        <v>756</v>
      </c>
      <c r="AV243" s="12">
        <v>1</v>
      </c>
      <c r="AW243" s="12">
        <v>1</v>
      </c>
      <c r="AX243" s="12" t="s">
        <v>81</v>
      </c>
      <c r="AY243" s="12" t="s">
        <v>82</v>
      </c>
      <c r="AZ243" s="12" t="s">
        <v>83</v>
      </c>
      <c r="BA243" s="12" t="s">
        <v>84</v>
      </c>
      <c r="BB243" s="12"/>
      <c r="BC243" s="27" t="s">
        <v>1967</v>
      </c>
      <c r="BD243" s="27" t="s">
        <v>1968</v>
      </c>
      <c r="BE243" s="12"/>
    </row>
    <row r="244" spans="1:57" x14ac:dyDescent="0.25">
      <c r="A244" s="12" t="s">
        <v>756</v>
      </c>
      <c r="B244" s="12" t="s">
        <v>57</v>
      </c>
      <c r="C244" s="25">
        <v>21841</v>
      </c>
      <c r="D244" s="12">
        <f t="shared" si="55"/>
        <v>291</v>
      </c>
      <c r="E244" s="23">
        <f t="shared" si="41"/>
        <v>291</v>
      </c>
      <c r="F244" s="12">
        <f t="shared" si="42"/>
        <v>1959</v>
      </c>
      <c r="G244" s="12">
        <f t="shared" si="43"/>
        <v>10</v>
      </c>
      <c r="H244" s="12">
        <f t="shared" si="44"/>
        <v>18</v>
      </c>
      <c r="I244" s="24">
        <f t="shared" si="48"/>
        <v>21841</v>
      </c>
      <c r="J244" s="12" t="s">
        <v>761</v>
      </c>
      <c r="K244" s="12" t="str">
        <f t="shared" si="45"/>
        <v>Certhia brachydactyla (Brehm, 1820)</v>
      </c>
      <c r="L244" s="12" t="str">
        <f t="shared" si="46"/>
        <v>Animalia|Chordata|Aves|Passeriformes|Certhiidae|Certhia</v>
      </c>
      <c r="M244" s="12" t="s">
        <v>59</v>
      </c>
      <c r="N244" s="12" t="s">
        <v>60</v>
      </c>
      <c r="O244" s="12" t="s">
        <v>61</v>
      </c>
      <c r="P244" s="12" t="s">
        <v>62</v>
      </c>
      <c r="Q244" s="12" t="s">
        <v>762</v>
      </c>
      <c r="R244" s="12" t="s">
        <v>977</v>
      </c>
      <c r="S244" s="12" t="s">
        <v>763</v>
      </c>
      <c r="T244" s="12" t="s">
        <v>66</v>
      </c>
      <c r="U244" s="12" t="s">
        <v>764</v>
      </c>
      <c r="V244" s="12" t="s">
        <v>1165</v>
      </c>
      <c r="W244" s="12" t="s">
        <v>68</v>
      </c>
      <c r="X244" s="12">
        <v>44.33014</v>
      </c>
      <c r="Y244" s="12">
        <v>7.4859239999999998</v>
      </c>
      <c r="Z244" s="14" t="s">
        <v>69</v>
      </c>
      <c r="AA244" s="12">
        <v>1929</v>
      </c>
      <c r="AB244" s="12" t="str">
        <f t="shared" si="49"/>
        <v>44.33014/7.485924</v>
      </c>
      <c r="AC244" s="13" t="s">
        <v>1473</v>
      </c>
      <c r="AD244" s="25">
        <v>46054</v>
      </c>
      <c r="AE244" s="14" t="s">
        <v>70</v>
      </c>
      <c r="AF244" s="14" t="s">
        <v>71</v>
      </c>
      <c r="AG244" s="14" t="s">
        <v>72</v>
      </c>
      <c r="AH244" s="12" t="str">
        <f t="shared" si="47"/>
        <v>Europa | Italy | Piedmont | Borgo San Dalmazzo</v>
      </c>
      <c r="AI244" s="12" t="s">
        <v>73</v>
      </c>
      <c r="AJ244" s="12"/>
      <c r="AK244" s="12" t="s">
        <v>74</v>
      </c>
      <c r="AL244" s="12" t="str">
        <f t="shared" si="50"/>
        <v>ITA</v>
      </c>
      <c r="AM244" s="12" t="s">
        <v>90</v>
      </c>
      <c r="AN244" s="12" t="s">
        <v>160</v>
      </c>
      <c r="AO244" s="12" t="s">
        <v>57</v>
      </c>
      <c r="AP244" s="12" t="s">
        <v>77</v>
      </c>
      <c r="AQ244" s="12" t="s">
        <v>78</v>
      </c>
      <c r="AR244" s="12" t="s">
        <v>79</v>
      </c>
      <c r="AS244" s="12" t="s">
        <v>1414</v>
      </c>
      <c r="AT244" s="12" t="s">
        <v>92</v>
      </c>
      <c r="AU244" s="12" t="s">
        <v>760</v>
      </c>
      <c r="AV244" s="12">
        <v>1</v>
      </c>
      <c r="AW244" s="12">
        <v>1</v>
      </c>
      <c r="AX244" s="12" t="s">
        <v>81</v>
      </c>
      <c r="AY244" s="12" t="s">
        <v>82</v>
      </c>
      <c r="AZ244" s="12" t="s">
        <v>83</v>
      </c>
      <c r="BA244" s="12" t="s">
        <v>84</v>
      </c>
      <c r="BB244" s="12"/>
      <c r="BC244" s="27" t="s">
        <v>1969</v>
      </c>
      <c r="BD244" s="27" t="s">
        <v>1970</v>
      </c>
      <c r="BE244" s="12"/>
    </row>
    <row r="245" spans="1:57" x14ac:dyDescent="0.25">
      <c r="A245" s="12" t="s">
        <v>760</v>
      </c>
      <c r="B245" s="12" t="s">
        <v>57</v>
      </c>
      <c r="C245" s="25">
        <v>20463</v>
      </c>
      <c r="D245" s="12">
        <f t="shared" si="55"/>
        <v>9</v>
      </c>
      <c r="E245" s="23">
        <f t="shared" si="41"/>
        <v>9</v>
      </c>
      <c r="F245" s="12">
        <f t="shared" si="42"/>
        <v>1956</v>
      </c>
      <c r="G245" s="12">
        <f t="shared" si="43"/>
        <v>1</v>
      </c>
      <c r="H245" s="12">
        <f t="shared" si="44"/>
        <v>9</v>
      </c>
      <c r="I245" s="24">
        <f t="shared" si="48"/>
        <v>20463</v>
      </c>
      <c r="J245" s="12" t="s">
        <v>761</v>
      </c>
      <c r="K245" s="12" t="str">
        <f t="shared" si="45"/>
        <v>Certhia brachydactyla (Brehm, 1820)</v>
      </c>
      <c r="L245" s="12" t="str">
        <f t="shared" si="46"/>
        <v>Animalia|Chordata|Aves|Passeriformes|Certhiidae|Certhia</v>
      </c>
      <c r="M245" s="12" t="s">
        <v>59</v>
      </c>
      <c r="N245" s="12" t="s">
        <v>60</v>
      </c>
      <c r="O245" s="12" t="s">
        <v>61</v>
      </c>
      <c r="P245" s="12" t="s">
        <v>62</v>
      </c>
      <c r="Q245" s="12" t="s">
        <v>762</v>
      </c>
      <c r="R245" s="12" t="s">
        <v>977</v>
      </c>
      <c r="S245" s="12" t="s">
        <v>763</v>
      </c>
      <c r="T245" s="12" t="s">
        <v>66</v>
      </c>
      <c r="U245" s="12" t="s">
        <v>764</v>
      </c>
      <c r="V245" s="12" t="s">
        <v>1165</v>
      </c>
      <c r="W245" s="12" t="s">
        <v>68</v>
      </c>
      <c r="X245" s="12">
        <v>44.389569999999999</v>
      </c>
      <c r="Y245" s="12">
        <v>7.513522</v>
      </c>
      <c r="Z245" s="14" t="s">
        <v>69</v>
      </c>
      <c r="AA245" s="12">
        <v>2568</v>
      </c>
      <c r="AB245" s="12" t="str">
        <f t="shared" si="49"/>
        <v>44.38957/7.513522</v>
      </c>
      <c r="AC245" s="13" t="s">
        <v>1473</v>
      </c>
      <c r="AD245" s="25">
        <v>46054</v>
      </c>
      <c r="AE245" s="14" t="s">
        <v>70</v>
      </c>
      <c r="AF245" s="14" t="s">
        <v>71</v>
      </c>
      <c r="AG245" s="14" t="s">
        <v>72</v>
      </c>
      <c r="AH245" s="12" t="str">
        <f t="shared" si="47"/>
        <v>Europa | Italy | Piedmont | Confreria</v>
      </c>
      <c r="AI245" s="12" t="s">
        <v>73</v>
      </c>
      <c r="AJ245" s="12"/>
      <c r="AK245" s="12" t="s">
        <v>74</v>
      </c>
      <c r="AL245" s="12" t="str">
        <f t="shared" si="50"/>
        <v>ITA</v>
      </c>
      <c r="AM245" s="12" t="s">
        <v>90</v>
      </c>
      <c r="AN245" s="12" t="s">
        <v>589</v>
      </c>
      <c r="AO245" s="12" t="s">
        <v>57</v>
      </c>
      <c r="AP245" s="12" t="s">
        <v>77</v>
      </c>
      <c r="AQ245" s="12" t="s">
        <v>78</v>
      </c>
      <c r="AR245" s="12" t="s">
        <v>79</v>
      </c>
      <c r="AS245" s="12" t="s">
        <v>1415</v>
      </c>
      <c r="AT245" s="12" t="s">
        <v>92</v>
      </c>
      <c r="AU245" s="12" t="s">
        <v>765</v>
      </c>
      <c r="AV245" s="12">
        <v>1</v>
      </c>
      <c r="AW245" s="12">
        <v>1</v>
      </c>
      <c r="AX245" s="12" t="s">
        <v>81</v>
      </c>
      <c r="AY245" s="12" t="s">
        <v>82</v>
      </c>
      <c r="AZ245" s="12" t="s">
        <v>83</v>
      </c>
      <c r="BA245" s="12" t="s">
        <v>84</v>
      </c>
      <c r="BB245" s="12"/>
      <c r="BC245" s="27" t="s">
        <v>1971</v>
      </c>
      <c r="BD245" s="27" t="s">
        <v>1972</v>
      </c>
      <c r="BE245" s="12"/>
    </row>
    <row r="246" spans="1:57" x14ac:dyDescent="0.25">
      <c r="A246" s="12" t="s">
        <v>765</v>
      </c>
      <c r="B246" s="12" t="s">
        <v>57</v>
      </c>
      <c r="C246" s="12">
        <v>1960</v>
      </c>
      <c r="D246" s="12"/>
      <c r="E246" s="23"/>
      <c r="F246" s="12">
        <f t="shared" si="42"/>
        <v>1960</v>
      </c>
      <c r="G246" s="12"/>
      <c r="H246" s="12"/>
      <c r="I246" s="24">
        <f t="shared" si="48"/>
        <v>1960</v>
      </c>
      <c r="J246" s="12" t="s">
        <v>761</v>
      </c>
      <c r="K246" s="12" t="str">
        <f t="shared" si="45"/>
        <v>Certhia brachydactyla (Brehm, 1820)</v>
      </c>
      <c r="L246" s="12" t="str">
        <f t="shared" si="46"/>
        <v>Animalia|Chordata|Aves|Passeriformes|Certhiidae|Certhia</v>
      </c>
      <c r="M246" s="12" t="s">
        <v>59</v>
      </c>
      <c r="N246" s="12" t="s">
        <v>60</v>
      </c>
      <c r="O246" s="12" t="s">
        <v>61</v>
      </c>
      <c r="P246" s="12" t="s">
        <v>62</v>
      </c>
      <c r="Q246" s="12" t="s">
        <v>762</v>
      </c>
      <c r="R246" s="12" t="s">
        <v>977</v>
      </c>
      <c r="S246" s="12" t="s">
        <v>763</v>
      </c>
      <c r="T246" s="12" t="s">
        <v>66</v>
      </c>
      <c r="U246" s="12" t="s">
        <v>764</v>
      </c>
      <c r="V246" s="12" t="s">
        <v>1167</v>
      </c>
      <c r="W246" s="12" t="s">
        <v>68</v>
      </c>
      <c r="X246" s="12">
        <v>44.33014</v>
      </c>
      <c r="Y246" s="12">
        <v>7.4859239999999998</v>
      </c>
      <c r="Z246" s="14" t="s">
        <v>69</v>
      </c>
      <c r="AA246" s="12">
        <v>1929</v>
      </c>
      <c r="AB246" s="12" t="str">
        <f t="shared" si="49"/>
        <v>44.33014/7.485924</v>
      </c>
      <c r="AC246" s="13" t="s">
        <v>1473</v>
      </c>
      <c r="AD246" s="25">
        <v>46054</v>
      </c>
      <c r="AE246" s="14" t="s">
        <v>70</v>
      </c>
      <c r="AF246" s="14" t="s">
        <v>71</v>
      </c>
      <c r="AG246" s="14" t="s">
        <v>72</v>
      </c>
      <c r="AH246" s="12" t="str">
        <f t="shared" si="47"/>
        <v>Europa | Italy | Piedmont | Piano Quinto</v>
      </c>
      <c r="AI246" s="12" t="s">
        <v>73</v>
      </c>
      <c r="AJ246" s="12"/>
      <c r="AK246" s="12" t="s">
        <v>74</v>
      </c>
      <c r="AL246" s="12" t="str">
        <f t="shared" si="50"/>
        <v>ITA</v>
      </c>
      <c r="AM246" s="12" t="s">
        <v>90</v>
      </c>
      <c r="AN246" s="12" t="s">
        <v>687</v>
      </c>
      <c r="AO246" s="12" t="s">
        <v>57</v>
      </c>
      <c r="AP246" s="12" t="s">
        <v>77</v>
      </c>
      <c r="AQ246" s="12" t="s">
        <v>78</v>
      </c>
      <c r="AR246" s="12" t="s">
        <v>79</v>
      </c>
      <c r="AS246" s="12" t="s">
        <v>1416</v>
      </c>
      <c r="AT246" s="12"/>
      <c r="AU246" s="12" t="s">
        <v>766</v>
      </c>
      <c r="AV246" s="12">
        <v>1</v>
      </c>
      <c r="AW246" s="12">
        <v>1</v>
      </c>
      <c r="AX246" s="12" t="s">
        <v>81</v>
      </c>
      <c r="AY246" s="12" t="s">
        <v>82</v>
      </c>
      <c r="AZ246" s="12" t="s">
        <v>83</v>
      </c>
      <c r="BA246" s="12" t="s">
        <v>84</v>
      </c>
      <c r="BB246" s="12"/>
      <c r="BC246" s="27" t="s">
        <v>1973</v>
      </c>
      <c r="BD246" s="27" t="s">
        <v>1974</v>
      </c>
      <c r="BE246" s="12"/>
    </row>
    <row r="247" spans="1:57" x14ac:dyDescent="0.25">
      <c r="A247" s="12" t="s">
        <v>766</v>
      </c>
      <c r="B247" s="12" t="s">
        <v>57</v>
      </c>
      <c r="C247" s="12">
        <v>1960</v>
      </c>
      <c r="D247" s="12"/>
      <c r="E247" s="23"/>
      <c r="F247" s="12">
        <f t="shared" si="42"/>
        <v>1960</v>
      </c>
      <c r="G247" s="12"/>
      <c r="H247" s="12"/>
      <c r="I247" s="24">
        <f t="shared" si="48"/>
        <v>1960</v>
      </c>
      <c r="J247" s="12" t="s">
        <v>58</v>
      </c>
      <c r="K247" s="12" t="str">
        <f t="shared" si="45"/>
        <v>Oriolus oriolus (Linnaeus, 1758)</v>
      </c>
      <c r="L247" s="12" t="str">
        <f t="shared" si="46"/>
        <v>Animalia|Chordata|Aves|Passeriformes|Oriolidae|Oriolus</v>
      </c>
      <c r="M247" s="12" t="s">
        <v>59</v>
      </c>
      <c r="N247" s="12" t="s">
        <v>60</v>
      </c>
      <c r="O247" s="12" t="s">
        <v>61</v>
      </c>
      <c r="P247" s="12" t="s">
        <v>62</v>
      </c>
      <c r="Q247" s="12" t="s">
        <v>185</v>
      </c>
      <c r="R247" s="12" t="s">
        <v>889</v>
      </c>
      <c r="S247" s="12" t="s">
        <v>186</v>
      </c>
      <c r="T247" s="12" t="s">
        <v>66</v>
      </c>
      <c r="U247" s="12" t="s">
        <v>187</v>
      </c>
      <c r="V247" s="12"/>
      <c r="W247" s="12" t="s">
        <v>68</v>
      </c>
      <c r="X247" s="12">
        <v>45.416666999999997</v>
      </c>
      <c r="Y247" s="12">
        <v>11.883333</v>
      </c>
      <c r="Z247" s="14" t="s">
        <v>69</v>
      </c>
      <c r="AA247" s="12">
        <v>7350</v>
      </c>
      <c r="AB247" s="12" t="str">
        <f t="shared" si="49"/>
        <v>45.416667/11.883333</v>
      </c>
      <c r="AC247" s="13" t="s">
        <v>1473</v>
      </c>
      <c r="AD247" s="25">
        <v>46054</v>
      </c>
      <c r="AE247" s="14" t="s">
        <v>70</v>
      </c>
      <c r="AF247" s="14" t="s">
        <v>71</v>
      </c>
      <c r="AG247" s="14" t="s">
        <v>72</v>
      </c>
      <c r="AH247" s="12" t="str">
        <f t="shared" si="47"/>
        <v>Europa | Italy | Veneto | Padua</v>
      </c>
      <c r="AI247" s="12" t="s">
        <v>73</v>
      </c>
      <c r="AJ247" s="12"/>
      <c r="AK247" s="12" t="s">
        <v>74</v>
      </c>
      <c r="AL247" s="12" t="str">
        <f t="shared" si="50"/>
        <v>ITA</v>
      </c>
      <c r="AM247" s="12" t="s">
        <v>150</v>
      </c>
      <c r="AN247" s="12" t="s">
        <v>151</v>
      </c>
      <c r="AO247" s="12" t="s">
        <v>57</v>
      </c>
      <c r="AP247" s="12" t="s">
        <v>77</v>
      </c>
      <c r="AQ247" s="12" t="s">
        <v>78</v>
      </c>
      <c r="AR247" s="12" t="s">
        <v>79</v>
      </c>
      <c r="AS247" s="12" t="s">
        <v>1417</v>
      </c>
      <c r="AT247" s="12"/>
      <c r="AU247" s="12" t="s">
        <v>767</v>
      </c>
      <c r="AV247" s="12">
        <v>1</v>
      </c>
      <c r="AW247" s="12">
        <v>1</v>
      </c>
      <c r="AX247" s="12" t="s">
        <v>81</v>
      </c>
      <c r="AY247" s="12" t="s">
        <v>82</v>
      </c>
      <c r="AZ247" s="12" t="s">
        <v>83</v>
      </c>
      <c r="BA247" s="12" t="s">
        <v>84</v>
      </c>
      <c r="BB247" s="12"/>
      <c r="BC247" s="27" t="s">
        <v>1975</v>
      </c>
      <c r="BD247" s="27" t="s">
        <v>1976</v>
      </c>
      <c r="BE247" s="12"/>
    </row>
    <row r="248" spans="1:57" x14ac:dyDescent="0.25">
      <c r="A248" s="12" t="s">
        <v>767</v>
      </c>
      <c r="B248" s="12" t="s">
        <v>57</v>
      </c>
      <c r="C248" s="25">
        <v>21417</v>
      </c>
      <c r="D248" s="12">
        <f t="shared" si="55"/>
        <v>232</v>
      </c>
      <c r="E248" s="23">
        <f t="shared" si="41"/>
        <v>232</v>
      </c>
      <c r="F248" s="12">
        <f t="shared" si="42"/>
        <v>1958</v>
      </c>
      <c r="G248" s="12">
        <f t="shared" si="43"/>
        <v>8</v>
      </c>
      <c r="H248" s="12">
        <f t="shared" si="44"/>
        <v>20</v>
      </c>
      <c r="I248" s="24">
        <f t="shared" si="48"/>
        <v>21417</v>
      </c>
      <c r="J248" s="12" t="s">
        <v>58</v>
      </c>
      <c r="K248" s="12" t="str">
        <f t="shared" si="45"/>
        <v>Oriolus oriolus (Linnaeus, 1758)</v>
      </c>
      <c r="L248" s="12" t="str">
        <f t="shared" si="46"/>
        <v>Animalia|Chordata|Aves|Passeriformes|Oriolidae|Oriolus</v>
      </c>
      <c r="M248" s="12" t="s">
        <v>59</v>
      </c>
      <c r="N248" s="12" t="s">
        <v>60</v>
      </c>
      <c r="O248" s="12" t="s">
        <v>61</v>
      </c>
      <c r="P248" s="12" t="s">
        <v>62</v>
      </c>
      <c r="Q248" s="12" t="s">
        <v>185</v>
      </c>
      <c r="R248" s="12" t="s">
        <v>889</v>
      </c>
      <c r="S248" s="12" t="s">
        <v>186</v>
      </c>
      <c r="T248" s="12" t="s">
        <v>66</v>
      </c>
      <c r="U248" s="12" t="s">
        <v>187</v>
      </c>
      <c r="V248" s="12"/>
      <c r="W248" s="12" t="s">
        <v>68</v>
      </c>
      <c r="X248" s="12">
        <v>45.416666999999997</v>
      </c>
      <c r="Y248" s="12">
        <v>11.883333</v>
      </c>
      <c r="Z248" s="14" t="s">
        <v>69</v>
      </c>
      <c r="AA248" s="12">
        <v>7350</v>
      </c>
      <c r="AB248" s="12" t="str">
        <f t="shared" si="49"/>
        <v>45.416667/11.883333</v>
      </c>
      <c r="AC248" s="13" t="s">
        <v>1473</v>
      </c>
      <c r="AD248" s="25">
        <v>46054</v>
      </c>
      <c r="AE248" s="14" t="s">
        <v>70</v>
      </c>
      <c r="AF248" s="14" t="s">
        <v>71</v>
      </c>
      <c r="AG248" s="14" t="s">
        <v>72</v>
      </c>
      <c r="AH248" s="12" t="str">
        <f t="shared" si="47"/>
        <v>Europa | Italy | Veneto | Padua</v>
      </c>
      <c r="AI248" s="12" t="s">
        <v>73</v>
      </c>
      <c r="AJ248" s="12"/>
      <c r="AK248" s="12" t="s">
        <v>74</v>
      </c>
      <c r="AL248" s="12" t="str">
        <f t="shared" si="50"/>
        <v>ITA</v>
      </c>
      <c r="AM248" s="12" t="s">
        <v>150</v>
      </c>
      <c r="AN248" s="12" t="s">
        <v>151</v>
      </c>
      <c r="AO248" s="12" t="s">
        <v>57</v>
      </c>
      <c r="AP248" s="12" t="s">
        <v>77</v>
      </c>
      <c r="AQ248" s="12" t="s">
        <v>78</v>
      </c>
      <c r="AR248" s="12" t="s">
        <v>79</v>
      </c>
      <c r="AS248" s="12" t="s">
        <v>1418</v>
      </c>
      <c r="AT248" s="12" t="s">
        <v>92</v>
      </c>
      <c r="AU248" s="12" t="s">
        <v>768</v>
      </c>
      <c r="AV248" s="12">
        <v>1</v>
      </c>
      <c r="AW248" s="12">
        <v>1</v>
      </c>
      <c r="AX248" s="12" t="s">
        <v>81</v>
      </c>
      <c r="AY248" s="12" t="s">
        <v>82</v>
      </c>
      <c r="AZ248" s="12" t="s">
        <v>83</v>
      </c>
      <c r="BA248" s="12" t="s">
        <v>84</v>
      </c>
      <c r="BB248" s="12"/>
      <c r="BC248" s="27" t="s">
        <v>1977</v>
      </c>
      <c r="BD248" s="27" t="s">
        <v>1978</v>
      </c>
      <c r="BE248" s="12"/>
    </row>
    <row r="249" spans="1:57" x14ac:dyDescent="0.25">
      <c r="A249" s="12" t="s">
        <v>768</v>
      </c>
      <c r="B249" s="12" t="s">
        <v>57</v>
      </c>
      <c r="C249" s="25">
        <v>21932</v>
      </c>
      <c r="D249" s="12">
        <f t="shared" si="55"/>
        <v>17</v>
      </c>
      <c r="E249" s="23">
        <f t="shared" si="41"/>
        <v>17</v>
      </c>
      <c r="F249" s="12">
        <f t="shared" si="42"/>
        <v>1960</v>
      </c>
      <c r="G249" s="12">
        <f t="shared" si="43"/>
        <v>1</v>
      </c>
      <c r="H249" s="12">
        <f t="shared" si="44"/>
        <v>17</v>
      </c>
      <c r="I249" s="24">
        <f t="shared" si="48"/>
        <v>21932</v>
      </c>
      <c r="J249" s="12" t="s">
        <v>58</v>
      </c>
      <c r="K249" s="12" t="str">
        <f t="shared" si="45"/>
        <v>Parus major (Linnaeus, 1758)</v>
      </c>
      <c r="L249" s="12" t="str">
        <f t="shared" si="46"/>
        <v>Animalia|Chordata|Aves|Passeriformes|Paridae|Parus</v>
      </c>
      <c r="M249" s="12" t="s">
        <v>59</v>
      </c>
      <c r="N249" s="12" t="s">
        <v>60</v>
      </c>
      <c r="O249" s="12" t="s">
        <v>61</v>
      </c>
      <c r="P249" s="12" t="s">
        <v>62</v>
      </c>
      <c r="Q249" s="12" t="s">
        <v>155</v>
      </c>
      <c r="R249" s="12" t="s">
        <v>156</v>
      </c>
      <c r="S249" s="12" t="s">
        <v>157</v>
      </c>
      <c r="T249" s="12" t="s">
        <v>66</v>
      </c>
      <c r="U249" s="12" t="s">
        <v>158</v>
      </c>
      <c r="V249" s="12" t="s">
        <v>1165</v>
      </c>
      <c r="W249" s="12" t="s">
        <v>68</v>
      </c>
      <c r="X249" s="12">
        <v>44.33014</v>
      </c>
      <c r="Y249" s="12">
        <v>7.4859239999999998</v>
      </c>
      <c r="Z249" s="14" t="s">
        <v>69</v>
      </c>
      <c r="AA249" s="12">
        <v>1929</v>
      </c>
      <c r="AB249" s="12" t="str">
        <f t="shared" si="49"/>
        <v>44.33014/7.485924</v>
      </c>
      <c r="AC249" s="13" t="s">
        <v>1473</v>
      </c>
      <c r="AD249" s="25">
        <v>46054</v>
      </c>
      <c r="AE249" s="14" t="s">
        <v>70</v>
      </c>
      <c r="AF249" s="14" t="s">
        <v>71</v>
      </c>
      <c r="AG249" s="14" t="s">
        <v>72</v>
      </c>
      <c r="AH249" s="12" t="str">
        <f t="shared" si="47"/>
        <v>Europa | Italy | Piedmont | Borgo San Dalmazzo</v>
      </c>
      <c r="AI249" s="12" t="s">
        <v>73</v>
      </c>
      <c r="AJ249" s="12"/>
      <c r="AK249" s="12" t="s">
        <v>74</v>
      </c>
      <c r="AL249" s="12" t="str">
        <f t="shared" si="50"/>
        <v>ITA</v>
      </c>
      <c r="AM249" s="12" t="s">
        <v>90</v>
      </c>
      <c r="AN249" s="12" t="s">
        <v>160</v>
      </c>
      <c r="AO249" s="12" t="s">
        <v>57</v>
      </c>
      <c r="AP249" s="12" t="s">
        <v>77</v>
      </c>
      <c r="AQ249" s="12" t="s">
        <v>78</v>
      </c>
      <c r="AR249" s="12" t="s">
        <v>79</v>
      </c>
      <c r="AS249" s="12" t="s">
        <v>1419</v>
      </c>
      <c r="AT249" s="12" t="s">
        <v>80</v>
      </c>
      <c r="AU249" s="12" t="s">
        <v>769</v>
      </c>
      <c r="AV249" s="12">
        <v>1</v>
      </c>
      <c r="AW249" s="12">
        <v>1</v>
      </c>
      <c r="AX249" s="12" t="s">
        <v>81</v>
      </c>
      <c r="AY249" s="12" t="s">
        <v>82</v>
      </c>
      <c r="AZ249" s="12" t="s">
        <v>83</v>
      </c>
      <c r="BA249" s="12" t="s">
        <v>84</v>
      </c>
      <c r="BB249" s="12"/>
      <c r="BC249" s="27" t="s">
        <v>1979</v>
      </c>
      <c r="BD249" s="27" t="s">
        <v>1980</v>
      </c>
      <c r="BE249" s="12"/>
    </row>
    <row r="250" spans="1:57" x14ac:dyDescent="0.25">
      <c r="A250" s="12" t="s">
        <v>769</v>
      </c>
      <c r="B250" s="12" t="s">
        <v>57</v>
      </c>
      <c r="C250" s="25">
        <v>21932</v>
      </c>
      <c r="D250" s="12">
        <f t="shared" si="55"/>
        <v>17</v>
      </c>
      <c r="E250" s="23">
        <f t="shared" si="41"/>
        <v>17</v>
      </c>
      <c r="F250" s="12">
        <f t="shared" si="42"/>
        <v>1960</v>
      </c>
      <c r="G250" s="12">
        <f t="shared" si="43"/>
        <v>1</v>
      </c>
      <c r="H250" s="12">
        <f t="shared" si="44"/>
        <v>17</v>
      </c>
      <c r="I250" s="24">
        <f t="shared" si="48"/>
        <v>21932</v>
      </c>
      <c r="J250" s="12" t="s">
        <v>58</v>
      </c>
      <c r="K250" s="12" t="str">
        <f t="shared" si="45"/>
        <v>Parus major (Linnaeus, 1758)</v>
      </c>
      <c r="L250" s="12" t="str">
        <f t="shared" si="46"/>
        <v>Animalia|Chordata|Aves|Passeriformes|Paridae|Parus</v>
      </c>
      <c r="M250" s="12" t="s">
        <v>59</v>
      </c>
      <c r="N250" s="12" t="s">
        <v>60</v>
      </c>
      <c r="O250" s="12" t="s">
        <v>61</v>
      </c>
      <c r="P250" s="12" t="s">
        <v>62</v>
      </c>
      <c r="Q250" s="12" t="s">
        <v>155</v>
      </c>
      <c r="R250" s="12" t="s">
        <v>156</v>
      </c>
      <c r="S250" s="12" t="s">
        <v>157</v>
      </c>
      <c r="T250" s="12" t="s">
        <v>66</v>
      </c>
      <c r="U250" s="12" t="s">
        <v>158</v>
      </c>
      <c r="V250" s="12" t="s">
        <v>1165</v>
      </c>
      <c r="W250" s="12" t="s">
        <v>68</v>
      </c>
      <c r="X250" s="12">
        <v>44.33014</v>
      </c>
      <c r="Y250" s="12">
        <v>7.4859239999999998</v>
      </c>
      <c r="Z250" s="14" t="s">
        <v>69</v>
      </c>
      <c r="AA250" s="12">
        <v>1929</v>
      </c>
      <c r="AB250" s="12" t="str">
        <f t="shared" si="49"/>
        <v>44.33014/7.485924</v>
      </c>
      <c r="AC250" s="13" t="s">
        <v>1473</v>
      </c>
      <c r="AD250" s="25">
        <v>46054</v>
      </c>
      <c r="AE250" s="14" t="s">
        <v>70</v>
      </c>
      <c r="AF250" s="14" t="s">
        <v>71</v>
      </c>
      <c r="AG250" s="14" t="s">
        <v>72</v>
      </c>
      <c r="AH250" s="12" t="str">
        <f t="shared" si="47"/>
        <v>Europa | Italy | Piedmont | Borgo San Dalmazzo</v>
      </c>
      <c r="AI250" s="12" t="s">
        <v>73</v>
      </c>
      <c r="AJ250" s="12"/>
      <c r="AK250" s="12" t="s">
        <v>74</v>
      </c>
      <c r="AL250" s="12" t="str">
        <f t="shared" si="50"/>
        <v>ITA</v>
      </c>
      <c r="AM250" s="12" t="s">
        <v>90</v>
      </c>
      <c r="AN250" s="12" t="s">
        <v>160</v>
      </c>
      <c r="AO250" s="12" t="s">
        <v>57</v>
      </c>
      <c r="AP250" s="12" t="s">
        <v>77</v>
      </c>
      <c r="AQ250" s="12" t="s">
        <v>78</v>
      </c>
      <c r="AR250" s="12" t="s">
        <v>79</v>
      </c>
      <c r="AS250" s="12" t="s">
        <v>1420</v>
      </c>
      <c r="AT250" s="12" t="s">
        <v>80</v>
      </c>
      <c r="AU250" s="12" t="s">
        <v>770</v>
      </c>
      <c r="AV250" s="12">
        <v>1</v>
      </c>
      <c r="AW250" s="12">
        <v>1</v>
      </c>
      <c r="AX250" s="12" t="s">
        <v>81</v>
      </c>
      <c r="AY250" s="12" t="s">
        <v>82</v>
      </c>
      <c r="AZ250" s="12" t="s">
        <v>83</v>
      </c>
      <c r="BA250" s="12" t="s">
        <v>84</v>
      </c>
      <c r="BB250" s="12"/>
      <c r="BC250" s="27" t="s">
        <v>1981</v>
      </c>
      <c r="BD250" s="27" t="s">
        <v>1982</v>
      </c>
      <c r="BE250" s="12"/>
    </row>
    <row r="251" spans="1:57" x14ac:dyDescent="0.25">
      <c r="A251" s="12" t="s">
        <v>770</v>
      </c>
      <c r="B251" s="12" t="s">
        <v>57</v>
      </c>
      <c r="C251" s="25">
        <v>21932</v>
      </c>
      <c r="D251" s="12">
        <f t="shared" si="55"/>
        <v>17</v>
      </c>
      <c r="E251" s="23">
        <f t="shared" si="41"/>
        <v>17</v>
      </c>
      <c r="F251" s="12">
        <f t="shared" si="42"/>
        <v>1960</v>
      </c>
      <c r="G251" s="12">
        <f t="shared" si="43"/>
        <v>1</v>
      </c>
      <c r="H251" s="12">
        <f t="shared" si="44"/>
        <v>17</v>
      </c>
      <c r="I251" s="24">
        <f t="shared" si="48"/>
        <v>21932</v>
      </c>
      <c r="J251" s="12" t="s">
        <v>58</v>
      </c>
      <c r="K251" s="12" t="str">
        <f t="shared" si="45"/>
        <v>Parus major (Linnaeus, 1758)</v>
      </c>
      <c r="L251" s="12" t="str">
        <f t="shared" si="46"/>
        <v>Animalia|Chordata|Aves|Passeriformes|Paridae|Parus</v>
      </c>
      <c r="M251" s="12" t="s">
        <v>59</v>
      </c>
      <c r="N251" s="12" t="s">
        <v>60</v>
      </c>
      <c r="O251" s="12" t="s">
        <v>61</v>
      </c>
      <c r="P251" s="12" t="s">
        <v>62</v>
      </c>
      <c r="Q251" s="12" t="s">
        <v>155</v>
      </c>
      <c r="R251" s="12" t="s">
        <v>156</v>
      </c>
      <c r="S251" s="12" t="s">
        <v>157</v>
      </c>
      <c r="T251" s="12" t="s">
        <v>66</v>
      </c>
      <c r="U251" s="12" t="s">
        <v>158</v>
      </c>
      <c r="V251" s="12" t="s">
        <v>1165</v>
      </c>
      <c r="W251" s="12" t="s">
        <v>68</v>
      </c>
      <c r="X251" s="12">
        <v>44.33014</v>
      </c>
      <c r="Y251" s="12">
        <v>7.4859239999999998</v>
      </c>
      <c r="Z251" s="14" t="s">
        <v>69</v>
      </c>
      <c r="AA251" s="12">
        <v>1929</v>
      </c>
      <c r="AB251" s="12" t="str">
        <f t="shared" si="49"/>
        <v>44.33014/7.485924</v>
      </c>
      <c r="AC251" s="13" t="s">
        <v>1473</v>
      </c>
      <c r="AD251" s="25">
        <v>46054</v>
      </c>
      <c r="AE251" s="14" t="s">
        <v>70</v>
      </c>
      <c r="AF251" s="14" t="s">
        <v>71</v>
      </c>
      <c r="AG251" s="14" t="s">
        <v>72</v>
      </c>
      <c r="AH251" s="12" t="str">
        <f t="shared" si="47"/>
        <v>Europa | Italy | Piedmont | Borgo San Dalmazzo</v>
      </c>
      <c r="AI251" s="12" t="s">
        <v>73</v>
      </c>
      <c r="AJ251" s="12"/>
      <c r="AK251" s="12" t="s">
        <v>74</v>
      </c>
      <c r="AL251" s="12" t="str">
        <f t="shared" si="50"/>
        <v>ITA</v>
      </c>
      <c r="AM251" s="12" t="s">
        <v>90</v>
      </c>
      <c r="AN251" s="12" t="s">
        <v>160</v>
      </c>
      <c r="AO251" s="12" t="s">
        <v>57</v>
      </c>
      <c r="AP251" s="12" t="s">
        <v>77</v>
      </c>
      <c r="AQ251" s="12" t="s">
        <v>78</v>
      </c>
      <c r="AR251" s="12" t="s">
        <v>79</v>
      </c>
      <c r="AS251" s="12" t="s">
        <v>1421</v>
      </c>
      <c r="AT251" s="12" t="s">
        <v>92</v>
      </c>
      <c r="AU251" s="12" t="s">
        <v>771</v>
      </c>
      <c r="AV251" s="12">
        <v>1</v>
      </c>
      <c r="AW251" s="12">
        <v>1</v>
      </c>
      <c r="AX251" s="12" t="s">
        <v>81</v>
      </c>
      <c r="AY251" s="12" t="s">
        <v>82</v>
      </c>
      <c r="AZ251" s="12" t="s">
        <v>83</v>
      </c>
      <c r="BA251" s="12" t="s">
        <v>84</v>
      </c>
      <c r="BB251" s="12"/>
      <c r="BC251" s="27" t="s">
        <v>1983</v>
      </c>
      <c r="BD251" s="27" t="s">
        <v>1984</v>
      </c>
      <c r="BE251" s="12"/>
    </row>
    <row r="252" spans="1:57" x14ac:dyDescent="0.25">
      <c r="A252" s="12" t="s">
        <v>771</v>
      </c>
      <c r="B252" s="12" t="s">
        <v>57</v>
      </c>
      <c r="C252" s="25">
        <v>21932</v>
      </c>
      <c r="D252" s="12">
        <f t="shared" si="55"/>
        <v>17</v>
      </c>
      <c r="E252" s="23">
        <f t="shared" si="41"/>
        <v>17</v>
      </c>
      <c r="F252" s="12">
        <f t="shared" si="42"/>
        <v>1960</v>
      </c>
      <c r="G252" s="12">
        <f t="shared" si="43"/>
        <v>1</v>
      </c>
      <c r="H252" s="12">
        <f t="shared" si="44"/>
        <v>17</v>
      </c>
      <c r="I252" s="24">
        <f t="shared" si="48"/>
        <v>21932</v>
      </c>
      <c r="J252" s="12" t="s">
        <v>58</v>
      </c>
      <c r="K252" s="12" t="str">
        <f t="shared" si="45"/>
        <v>Parus major (Linnaeus, 1758)</v>
      </c>
      <c r="L252" s="12" t="str">
        <f t="shared" si="46"/>
        <v>Animalia|Chordata|Aves|Passeriformes|Paridae|Parus</v>
      </c>
      <c r="M252" s="12" t="s">
        <v>59</v>
      </c>
      <c r="N252" s="12" t="s">
        <v>60</v>
      </c>
      <c r="O252" s="12" t="s">
        <v>61</v>
      </c>
      <c r="P252" s="12" t="s">
        <v>62</v>
      </c>
      <c r="Q252" s="12" t="s">
        <v>155</v>
      </c>
      <c r="R252" s="12" t="s">
        <v>156</v>
      </c>
      <c r="S252" s="12" t="s">
        <v>157</v>
      </c>
      <c r="T252" s="12" t="s">
        <v>66</v>
      </c>
      <c r="U252" s="12" t="s">
        <v>158</v>
      </c>
      <c r="V252" s="12" t="s">
        <v>1165</v>
      </c>
      <c r="W252" s="12" t="s">
        <v>68</v>
      </c>
      <c r="X252" s="12">
        <v>44.33014</v>
      </c>
      <c r="Y252" s="12">
        <v>7.4859239999999998</v>
      </c>
      <c r="Z252" s="14" t="s">
        <v>69</v>
      </c>
      <c r="AA252" s="12">
        <v>1929</v>
      </c>
      <c r="AB252" s="12" t="str">
        <f t="shared" si="49"/>
        <v>44.33014/7.485924</v>
      </c>
      <c r="AC252" s="13" t="s">
        <v>1473</v>
      </c>
      <c r="AD252" s="25">
        <v>46054</v>
      </c>
      <c r="AE252" s="14" t="s">
        <v>70</v>
      </c>
      <c r="AF252" s="14" t="s">
        <v>71</v>
      </c>
      <c r="AG252" s="14" t="s">
        <v>72</v>
      </c>
      <c r="AH252" s="12" t="str">
        <f t="shared" si="47"/>
        <v>Europa | Italy | Piedmont | Borgo San Dalmazzo</v>
      </c>
      <c r="AI252" s="12" t="s">
        <v>73</v>
      </c>
      <c r="AJ252" s="12"/>
      <c r="AK252" s="12" t="s">
        <v>74</v>
      </c>
      <c r="AL252" s="12" t="str">
        <f t="shared" si="50"/>
        <v>ITA</v>
      </c>
      <c r="AM252" s="12" t="s">
        <v>90</v>
      </c>
      <c r="AN252" s="12" t="s">
        <v>160</v>
      </c>
      <c r="AO252" s="12" t="s">
        <v>57</v>
      </c>
      <c r="AP252" s="12" t="s">
        <v>77</v>
      </c>
      <c r="AQ252" s="12" t="s">
        <v>78</v>
      </c>
      <c r="AR252" s="12" t="s">
        <v>79</v>
      </c>
      <c r="AS252" s="12" t="s">
        <v>1422</v>
      </c>
      <c r="AT252" s="12" t="s">
        <v>92</v>
      </c>
      <c r="AU252" s="12" t="s">
        <v>772</v>
      </c>
      <c r="AV252" s="12">
        <v>1</v>
      </c>
      <c r="AW252" s="12">
        <v>1</v>
      </c>
      <c r="AX252" s="12" t="s">
        <v>81</v>
      </c>
      <c r="AY252" s="12" t="s">
        <v>82</v>
      </c>
      <c r="AZ252" s="12" t="s">
        <v>83</v>
      </c>
      <c r="BA252" s="12" t="s">
        <v>84</v>
      </c>
      <c r="BB252" s="12"/>
      <c r="BC252" s="27" t="s">
        <v>1985</v>
      </c>
      <c r="BD252" s="27" t="s">
        <v>1986</v>
      </c>
      <c r="BE252" s="12"/>
    </row>
    <row r="253" spans="1:57" x14ac:dyDescent="0.25">
      <c r="A253" s="12" t="s">
        <v>772</v>
      </c>
      <c r="B253" s="12" t="s">
        <v>57</v>
      </c>
      <c r="C253" s="25">
        <v>20774</v>
      </c>
      <c r="D253" s="12">
        <f t="shared" si="55"/>
        <v>320</v>
      </c>
      <c r="E253" s="23">
        <f t="shared" si="41"/>
        <v>320</v>
      </c>
      <c r="F253" s="12">
        <f t="shared" si="42"/>
        <v>1956</v>
      </c>
      <c r="G253" s="12">
        <f t="shared" si="43"/>
        <v>11</v>
      </c>
      <c r="H253" s="12">
        <f t="shared" si="44"/>
        <v>15</v>
      </c>
      <c r="I253" s="24">
        <f t="shared" si="48"/>
        <v>20774</v>
      </c>
      <c r="J253" s="12" t="s">
        <v>115</v>
      </c>
      <c r="K253" s="12" t="str">
        <f t="shared" si="45"/>
        <v>Ficedula hypoleuca (Pallas, 1764)</v>
      </c>
      <c r="L253" s="12" t="str">
        <f t="shared" si="46"/>
        <v>Animalia|Chordata|Aves|Passeriformes|Muscicapidae|Ficedula</v>
      </c>
      <c r="M253" s="12" t="s">
        <v>59</v>
      </c>
      <c r="N253" s="12" t="s">
        <v>60</v>
      </c>
      <c r="O253" s="12" t="s">
        <v>61</v>
      </c>
      <c r="P253" s="12" t="s">
        <v>62</v>
      </c>
      <c r="Q253" s="12" t="s">
        <v>177</v>
      </c>
      <c r="R253" s="12" t="s">
        <v>978</v>
      </c>
      <c r="S253" s="12" t="s">
        <v>774</v>
      </c>
      <c r="T253" s="12" t="s">
        <v>66</v>
      </c>
      <c r="U253" s="12" t="s">
        <v>775</v>
      </c>
      <c r="V253" s="12" t="s">
        <v>1165</v>
      </c>
      <c r="W253" s="12" t="s">
        <v>68</v>
      </c>
      <c r="X253" s="12">
        <v>44.33014</v>
      </c>
      <c r="Y253" s="12">
        <v>7.4859239999999998</v>
      </c>
      <c r="Z253" s="14" t="s">
        <v>69</v>
      </c>
      <c r="AA253" s="12">
        <v>1929</v>
      </c>
      <c r="AB253" s="12" t="str">
        <f t="shared" si="49"/>
        <v>44.33014/7.485924</v>
      </c>
      <c r="AC253" s="13" t="s">
        <v>1473</v>
      </c>
      <c r="AD253" s="25">
        <v>46054</v>
      </c>
      <c r="AE253" s="14" t="s">
        <v>70</v>
      </c>
      <c r="AF253" s="14" t="s">
        <v>71</v>
      </c>
      <c r="AG253" s="14" t="s">
        <v>72</v>
      </c>
      <c r="AH253" s="12" t="str">
        <f t="shared" si="47"/>
        <v>Europa | Italy | Piedmont | Borgo San Dalmazzo</v>
      </c>
      <c r="AI253" s="12" t="s">
        <v>73</v>
      </c>
      <c r="AJ253" s="12"/>
      <c r="AK253" s="12" t="s">
        <v>74</v>
      </c>
      <c r="AL253" s="12" t="str">
        <f t="shared" si="50"/>
        <v>ITA</v>
      </c>
      <c r="AM253" s="12" t="s">
        <v>90</v>
      </c>
      <c r="AN253" s="12" t="s">
        <v>160</v>
      </c>
      <c r="AO253" s="12" t="s">
        <v>57</v>
      </c>
      <c r="AP253" s="12" t="s">
        <v>77</v>
      </c>
      <c r="AQ253" s="12" t="s">
        <v>78</v>
      </c>
      <c r="AR253" s="12" t="s">
        <v>79</v>
      </c>
      <c r="AS253" s="12" t="s">
        <v>1423</v>
      </c>
      <c r="AT253" s="12" t="s">
        <v>92</v>
      </c>
      <c r="AU253" s="12" t="s">
        <v>773</v>
      </c>
      <c r="AV253" s="12">
        <v>1</v>
      </c>
      <c r="AW253" s="12">
        <v>1</v>
      </c>
      <c r="AX253" s="12" t="s">
        <v>81</v>
      </c>
      <c r="AY253" s="12" t="s">
        <v>82</v>
      </c>
      <c r="AZ253" s="12" t="s">
        <v>83</v>
      </c>
      <c r="BA253" s="12" t="s">
        <v>84</v>
      </c>
      <c r="BB253" s="12"/>
      <c r="BC253" s="27" t="s">
        <v>1987</v>
      </c>
      <c r="BD253" s="27" t="s">
        <v>1988</v>
      </c>
      <c r="BE253" s="12"/>
    </row>
    <row r="254" spans="1:57" x14ac:dyDescent="0.25">
      <c r="A254" s="12" t="s">
        <v>773</v>
      </c>
      <c r="B254" s="12" t="s">
        <v>57</v>
      </c>
      <c r="C254" s="25">
        <v>20500</v>
      </c>
      <c r="D254" s="12">
        <f t="shared" si="55"/>
        <v>46</v>
      </c>
      <c r="E254" s="23">
        <f t="shared" si="41"/>
        <v>46</v>
      </c>
      <c r="F254" s="12">
        <f t="shared" si="42"/>
        <v>1956</v>
      </c>
      <c r="G254" s="12">
        <f t="shared" si="43"/>
        <v>2</v>
      </c>
      <c r="H254" s="12">
        <f t="shared" si="44"/>
        <v>15</v>
      </c>
      <c r="I254" s="24">
        <f t="shared" si="48"/>
        <v>20500</v>
      </c>
      <c r="J254" s="12" t="s">
        <v>58</v>
      </c>
      <c r="K254" s="12" t="str">
        <f t="shared" si="45"/>
        <v>Aegithalos caudatus (Linnaeus, 1758)</v>
      </c>
      <c r="L254" s="12" t="str">
        <f t="shared" si="46"/>
        <v>Animalia|Chordata|Aves|Passeriformes|Aegithalidae|Aegithalos</v>
      </c>
      <c r="M254" s="12" t="s">
        <v>59</v>
      </c>
      <c r="N254" s="12" t="s">
        <v>60</v>
      </c>
      <c r="O254" s="12" t="s">
        <v>61</v>
      </c>
      <c r="P254" s="12" t="s">
        <v>62</v>
      </c>
      <c r="Q254" s="12" t="s">
        <v>672</v>
      </c>
      <c r="R254" s="12" t="s">
        <v>979</v>
      </c>
      <c r="S254" s="12" t="s">
        <v>777</v>
      </c>
      <c r="T254" s="12" t="s">
        <v>66</v>
      </c>
      <c r="U254" s="12" t="s">
        <v>778</v>
      </c>
      <c r="V254" s="12" t="s">
        <v>1165</v>
      </c>
      <c r="W254" s="12" t="s">
        <v>68</v>
      </c>
      <c r="X254" s="12">
        <v>44.389569999999999</v>
      </c>
      <c r="Y254" s="12">
        <v>7.513522</v>
      </c>
      <c r="Z254" s="14" t="s">
        <v>69</v>
      </c>
      <c r="AA254" s="12">
        <v>2568</v>
      </c>
      <c r="AB254" s="12" t="str">
        <f t="shared" si="49"/>
        <v>44.38957/7.513522</v>
      </c>
      <c r="AC254" s="13" t="s">
        <v>1473</v>
      </c>
      <c r="AD254" s="25">
        <v>46054</v>
      </c>
      <c r="AE254" s="14" t="s">
        <v>70</v>
      </c>
      <c r="AF254" s="14" t="s">
        <v>71</v>
      </c>
      <c r="AG254" s="14" t="s">
        <v>72</v>
      </c>
      <c r="AH254" s="12" t="str">
        <f t="shared" si="47"/>
        <v>Europa | Italy | Piedmont | Confreria</v>
      </c>
      <c r="AI254" s="12" t="s">
        <v>73</v>
      </c>
      <c r="AJ254" s="12"/>
      <c r="AK254" s="12" t="s">
        <v>74</v>
      </c>
      <c r="AL254" s="12" t="str">
        <f t="shared" si="50"/>
        <v>ITA</v>
      </c>
      <c r="AM254" s="12" t="s">
        <v>90</v>
      </c>
      <c r="AN254" s="12" t="s">
        <v>589</v>
      </c>
      <c r="AO254" s="12" t="s">
        <v>57</v>
      </c>
      <c r="AP254" s="12" t="s">
        <v>77</v>
      </c>
      <c r="AQ254" s="12" t="s">
        <v>78</v>
      </c>
      <c r="AR254" s="12" t="s">
        <v>79</v>
      </c>
      <c r="AS254" s="12" t="s">
        <v>1424</v>
      </c>
      <c r="AT254" s="12" t="s">
        <v>92</v>
      </c>
      <c r="AU254" s="12" t="s">
        <v>776</v>
      </c>
      <c r="AV254" s="12">
        <v>1</v>
      </c>
      <c r="AW254" s="12">
        <v>1</v>
      </c>
      <c r="AX254" s="12" t="s">
        <v>81</v>
      </c>
      <c r="AY254" s="12" t="s">
        <v>82</v>
      </c>
      <c r="AZ254" s="12" t="s">
        <v>83</v>
      </c>
      <c r="BA254" s="12" t="s">
        <v>84</v>
      </c>
      <c r="BB254" s="12"/>
      <c r="BC254" s="27" t="s">
        <v>1989</v>
      </c>
      <c r="BD254" s="27" t="s">
        <v>1990</v>
      </c>
      <c r="BE254" s="12"/>
    </row>
    <row r="255" spans="1:57" x14ac:dyDescent="0.25">
      <c r="A255" s="12" t="s">
        <v>776</v>
      </c>
      <c r="B255" s="12" t="s">
        <v>57</v>
      </c>
      <c r="C255" s="25">
        <v>21813</v>
      </c>
      <c r="D255" s="12">
        <f t="shared" si="55"/>
        <v>263</v>
      </c>
      <c r="E255" s="23">
        <f t="shared" si="41"/>
        <v>263</v>
      </c>
      <c r="F255" s="12">
        <f t="shared" si="42"/>
        <v>1959</v>
      </c>
      <c r="G255" s="12">
        <f t="shared" si="43"/>
        <v>9</v>
      </c>
      <c r="H255" s="12">
        <f t="shared" si="44"/>
        <v>20</v>
      </c>
      <c r="I255" s="24">
        <f t="shared" si="48"/>
        <v>21813</v>
      </c>
      <c r="J255" s="12" t="s">
        <v>58</v>
      </c>
      <c r="K255" s="12" t="str">
        <f t="shared" si="45"/>
        <v>Poecile palustris (Linnaeus, 1758)</v>
      </c>
      <c r="L255" s="12" t="str">
        <f t="shared" si="46"/>
        <v>Animalia|Chordata|Aves|Passeriformes|Paridae|Poecile</v>
      </c>
      <c r="M255" s="12" t="s">
        <v>59</v>
      </c>
      <c r="N255" s="12" t="s">
        <v>60</v>
      </c>
      <c r="O255" s="12" t="s">
        <v>61</v>
      </c>
      <c r="P255" s="12" t="s">
        <v>62</v>
      </c>
      <c r="Q255" s="12" t="s">
        <v>155</v>
      </c>
      <c r="R255" s="12" t="s">
        <v>980</v>
      </c>
      <c r="S255" s="12" t="s">
        <v>780</v>
      </c>
      <c r="T255" s="12" t="s">
        <v>66</v>
      </c>
      <c r="U255" s="12" t="s">
        <v>781</v>
      </c>
      <c r="V255" s="12" t="s">
        <v>1165</v>
      </c>
      <c r="W255" s="12" t="s">
        <v>68</v>
      </c>
      <c r="X255" s="12">
        <v>44.33014</v>
      </c>
      <c r="Y255" s="12">
        <v>7.4859239999999998</v>
      </c>
      <c r="Z255" s="14" t="s">
        <v>69</v>
      </c>
      <c r="AA255" s="12">
        <v>1929</v>
      </c>
      <c r="AB255" s="12" t="str">
        <f t="shared" si="49"/>
        <v>44.33014/7.485924</v>
      </c>
      <c r="AC255" s="13" t="s">
        <v>1473</v>
      </c>
      <c r="AD255" s="25">
        <v>46054</v>
      </c>
      <c r="AE255" s="14" t="s">
        <v>70</v>
      </c>
      <c r="AF255" s="14" t="s">
        <v>71</v>
      </c>
      <c r="AG255" s="14" t="s">
        <v>72</v>
      </c>
      <c r="AH255" s="12" t="str">
        <f t="shared" si="47"/>
        <v>Europa | Italy | Piedmont | Borgo San Dalmazzo</v>
      </c>
      <c r="AI255" s="12" t="s">
        <v>73</v>
      </c>
      <c r="AJ255" s="12"/>
      <c r="AK255" s="12" t="s">
        <v>74</v>
      </c>
      <c r="AL255" s="12" t="str">
        <f t="shared" si="50"/>
        <v>ITA</v>
      </c>
      <c r="AM255" s="12" t="s">
        <v>90</v>
      </c>
      <c r="AN255" s="12" t="s">
        <v>160</v>
      </c>
      <c r="AO255" s="12" t="s">
        <v>57</v>
      </c>
      <c r="AP255" s="12" t="s">
        <v>77</v>
      </c>
      <c r="AQ255" s="12" t="s">
        <v>78</v>
      </c>
      <c r="AR255" s="12" t="s">
        <v>79</v>
      </c>
      <c r="AS255" s="12" t="s">
        <v>1425</v>
      </c>
      <c r="AT255" s="12" t="s">
        <v>80</v>
      </c>
      <c r="AU255" s="12" t="s">
        <v>779</v>
      </c>
      <c r="AV255" s="12">
        <v>1</v>
      </c>
      <c r="AW255" s="12">
        <v>1</v>
      </c>
      <c r="AX255" s="12" t="s">
        <v>81</v>
      </c>
      <c r="AY255" s="12" t="s">
        <v>82</v>
      </c>
      <c r="AZ255" s="12" t="s">
        <v>83</v>
      </c>
      <c r="BA255" s="12" t="s">
        <v>84</v>
      </c>
      <c r="BB255" s="12"/>
      <c r="BC255" s="27" t="s">
        <v>1991</v>
      </c>
      <c r="BD255" s="27" t="s">
        <v>1992</v>
      </c>
      <c r="BE255" s="12"/>
    </row>
    <row r="256" spans="1:57" x14ac:dyDescent="0.25">
      <c r="A256" s="12" t="s">
        <v>779</v>
      </c>
      <c r="B256" s="12" t="s">
        <v>57</v>
      </c>
      <c r="C256" s="25">
        <v>21932</v>
      </c>
      <c r="D256" s="12">
        <f t="shared" si="55"/>
        <v>17</v>
      </c>
      <c r="E256" s="23">
        <f t="shared" si="41"/>
        <v>17</v>
      </c>
      <c r="F256" s="12">
        <f t="shared" si="42"/>
        <v>1960</v>
      </c>
      <c r="G256" s="12">
        <f t="shared" si="43"/>
        <v>1</v>
      </c>
      <c r="H256" s="12">
        <f t="shared" si="44"/>
        <v>17</v>
      </c>
      <c r="I256" s="24">
        <f t="shared" si="48"/>
        <v>21932</v>
      </c>
      <c r="J256" s="12" t="s">
        <v>58</v>
      </c>
      <c r="K256" s="12" t="str">
        <f t="shared" si="45"/>
        <v>Cyanistes caeruleus (Linnaeus, 1758)</v>
      </c>
      <c r="L256" s="12" t="str">
        <f t="shared" si="46"/>
        <v>Animalia|Chordata|Aves|Passeriformes|Paridae|Cyanistes</v>
      </c>
      <c r="M256" s="12" t="s">
        <v>59</v>
      </c>
      <c r="N256" s="12" t="s">
        <v>60</v>
      </c>
      <c r="O256" s="12" t="s">
        <v>61</v>
      </c>
      <c r="P256" s="12" t="s">
        <v>62</v>
      </c>
      <c r="Q256" s="12" t="s">
        <v>155</v>
      </c>
      <c r="R256" s="12" t="s">
        <v>981</v>
      </c>
      <c r="S256" s="12" t="s">
        <v>783</v>
      </c>
      <c r="T256" s="12" t="s">
        <v>66</v>
      </c>
      <c r="U256" s="12" t="s">
        <v>784</v>
      </c>
      <c r="V256" s="12" t="s">
        <v>1165</v>
      </c>
      <c r="W256" s="12" t="s">
        <v>68</v>
      </c>
      <c r="X256" s="12">
        <v>44.33014</v>
      </c>
      <c r="Y256" s="12">
        <v>7.4859239999999998</v>
      </c>
      <c r="Z256" s="14" t="s">
        <v>69</v>
      </c>
      <c r="AA256" s="12">
        <v>1929</v>
      </c>
      <c r="AB256" s="12" t="str">
        <f t="shared" si="49"/>
        <v>44.33014/7.485924</v>
      </c>
      <c r="AC256" s="13" t="s">
        <v>1473</v>
      </c>
      <c r="AD256" s="25">
        <v>46054</v>
      </c>
      <c r="AE256" s="14" t="s">
        <v>70</v>
      </c>
      <c r="AF256" s="14" t="s">
        <v>71</v>
      </c>
      <c r="AG256" s="14" t="s">
        <v>72</v>
      </c>
      <c r="AH256" s="12" t="str">
        <f t="shared" si="47"/>
        <v>Europa | Italy | Piedmont | Borgo San Dalmazzo</v>
      </c>
      <c r="AI256" s="12" t="s">
        <v>73</v>
      </c>
      <c r="AJ256" s="12"/>
      <c r="AK256" s="12" t="s">
        <v>74</v>
      </c>
      <c r="AL256" s="12" t="str">
        <f t="shared" si="50"/>
        <v>ITA</v>
      </c>
      <c r="AM256" s="12" t="s">
        <v>90</v>
      </c>
      <c r="AN256" s="12" t="s">
        <v>160</v>
      </c>
      <c r="AO256" s="12" t="s">
        <v>57</v>
      </c>
      <c r="AP256" s="12" t="s">
        <v>77</v>
      </c>
      <c r="AQ256" s="12" t="s">
        <v>78</v>
      </c>
      <c r="AR256" s="12" t="s">
        <v>79</v>
      </c>
      <c r="AS256" s="12" t="s">
        <v>1426</v>
      </c>
      <c r="AT256" s="12" t="s">
        <v>80</v>
      </c>
      <c r="AU256" s="12" t="s">
        <v>782</v>
      </c>
      <c r="AV256" s="12">
        <v>1</v>
      </c>
      <c r="AW256" s="12">
        <v>1</v>
      </c>
      <c r="AX256" s="12" t="s">
        <v>81</v>
      </c>
      <c r="AY256" s="12" t="s">
        <v>82</v>
      </c>
      <c r="AZ256" s="12" t="s">
        <v>83</v>
      </c>
      <c r="BA256" s="12" t="s">
        <v>84</v>
      </c>
      <c r="BB256" s="12"/>
      <c r="BC256" s="27" t="s">
        <v>1993</v>
      </c>
      <c r="BD256" s="27" t="s">
        <v>1994</v>
      </c>
      <c r="BE256" s="12"/>
    </row>
    <row r="257" spans="1:57" x14ac:dyDescent="0.25">
      <c r="A257" s="12" t="s">
        <v>782</v>
      </c>
      <c r="B257" s="12" t="s">
        <v>57</v>
      </c>
      <c r="C257" s="25">
        <v>20463</v>
      </c>
      <c r="D257" s="12">
        <f t="shared" si="55"/>
        <v>9</v>
      </c>
      <c r="E257" s="23">
        <f t="shared" ref="E257:E298" si="56">IFERROR(C257-DATE(YEAR(C257),1,1)+1,"")</f>
        <v>9</v>
      </c>
      <c r="F257" s="12">
        <f t="shared" ref="F257:F298" si="57">IFERROR(IF(C257="","",IF(C257&lt;10000,C257,YEAR(C257))),"")</f>
        <v>1956</v>
      </c>
      <c r="G257" s="12">
        <f t="shared" ref="G257:G298" si="58">IFERROR(MONTH(C257),"")</f>
        <v>1</v>
      </c>
      <c r="H257" s="12">
        <f t="shared" ref="H257:H298" si="59">IFERROR(DAY(C257),"")</f>
        <v>9</v>
      </c>
      <c r="I257" s="24">
        <f t="shared" si="48"/>
        <v>20463</v>
      </c>
      <c r="J257" s="12" t="s">
        <v>58</v>
      </c>
      <c r="K257" s="12" t="str">
        <f t="shared" ref="K257:K298" si="60">R257&amp;" "&amp;S257&amp;" "&amp;"("&amp;J257&amp;")"</f>
        <v>Sitta europaea (Linnaeus, 1758)</v>
      </c>
      <c r="L257" s="12" t="str">
        <f t="shared" ref="L257:L298" si="61">M257&amp;"|"&amp;N257&amp;"|"&amp;O257&amp;"|"&amp;P257&amp;"|"&amp;Q257&amp;"|"&amp;R257</f>
        <v>Animalia|Chordata|Aves|Passeriformes|Sittidae|Sitta</v>
      </c>
      <c r="M257" s="12" t="s">
        <v>59</v>
      </c>
      <c r="N257" s="12" t="s">
        <v>60</v>
      </c>
      <c r="O257" s="12" t="s">
        <v>61</v>
      </c>
      <c r="P257" s="12" t="s">
        <v>62</v>
      </c>
      <c r="Q257" s="12" t="s">
        <v>786</v>
      </c>
      <c r="R257" s="12" t="s">
        <v>982</v>
      </c>
      <c r="S257" s="12" t="s">
        <v>787</v>
      </c>
      <c r="T257" s="12" t="s">
        <v>66</v>
      </c>
      <c r="U257" s="12" t="s">
        <v>788</v>
      </c>
      <c r="V257" s="12" t="s">
        <v>1165</v>
      </c>
      <c r="W257" s="12" t="s">
        <v>68</v>
      </c>
      <c r="X257" s="12">
        <v>44.389569999999999</v>
      </c>
      <c r="Y257" s="12">
        <v>7.513522</v>
      </c>
      <c r="Z257" s="14" t="s">
        <v>69</v>
      </c>
      <c r="AA257" s="12">
        <v>2568</v>
      </c>
      <c r="AB257" s="12" t="str">
        <f t="shared" si="49"/>
        <v>44.38957/7.513522</v>
      </c>
      <c r="AC257" s="13" t="s">
        <v>1473</v>
      </c>
      <c r="AD257" s="25">
        <v>46054</v>
      </c>
      <c r="AE257" s="14" t="s">
        <v>70</v>
      </c>
      <c r="AF257" s="14" t="s">
        <v>71</v>
      </c>
      <c r="AG257" s="14" t="s">
        <v>72</v>
      </c>
      <c r="AH257" s="12" t="str">
        <f t="shared" ref="AH257:AH298" si="62">_xlfn.TEXTJOIN(" | ",TRUE,AI257,AJ257,AK257,AM257,AN257)</f>
        <v>Europa | Italy | Piedmont | Confreria</v>
      </c>
      <c r="AI257" s="12" t="s">
        <v>73</v>
      </c>
      <c r="AJ257" s="12"/>
      <c r="AK257" s="12" t="s">
        <v>74</v>
      </c>
      <c r="AL257" s="12" t="str">
        <f t="shared" si="50"/>
        <v>ITA</v>
      </c>
      <c r="AM257" s="12" t="s">
        <v>90</v>
      </c>
      <c r="AN257" s="12" t="s">
        <v>589</v>
      </c>
      <c r="AO257" s="12" t="s">
        <v>57</v>
      </c>
      <c r="AP257" s="12" t="s">
        <v>77</v>
      </c>
      <c r="AQ257" s="12" t="s">
        <v>78</v>
      </c>
      <c r="AR257" s="12" t="s">
        <v>79</v>
      </c>
      <c r="AS257" s="12" t="s">
        <v>1427</v>
      </c>
      <c r="AT257" s="12" t="s">
        <v>80</v>
      </c>
      <c r="AU257" s="12" t="s">
        <v>785</v>
      </c>
      <c r="AV257" s="12">
        <v>1</v>
      </c>
      <c r="AW257" s="12">
        <v>1</v>
      </c>
      <c r="AX257" s="12" t="s">
        <v>81</v>
      </c>
      <c r="AY257" s="12" t="s">
        <v>82</v>
      </c>
      <c r="AZ257" s="12" t="s">
        <v>83</v>
      </c>
      <c r="BA257" s="12" t="s">
        <v>84</v>
      </c>
      <c r="BB257" s="12"/>
      <c r="BC257" s="27" t="s">
        <v>1995</v>
      </c>
      <c r="BD257" s="27" t="s">
        <v>1996</v>
      </c>
      <c r="BE257" s="12"/>
    </row>
    <row r="258" spans="1:57" x14ac:dyDescent="0.25">
      <c r="A258" s="12" t="s">
        <v>785</v>
      </c>
      <c r="B258" s="12" t="s">
        <v>57</v>
      </c>
      <c r="C258" s="12">
        <v>1875</v>
      </c>
      <c r="D258" s="12"/>
      <c r="E258" s="23"/>
      <c r="F258" s="12">
        <f t="shared" si="57"/>
        <v>1875</v>
      </c>
      <c r="G258" s="12"/>
      <c r="H258" s="12"/>
      <c r="I258" s="24">
        <f t="shared" ref="I258:I298" si="63">IF(C258="","",IF(C258&lt;10000,C258,C258))</f>
        <v>1875</v>
      </c>
      <c r="J258" s="12" t="s">
        <v>58</v>
      </c>
      <c r="K258" s="12" t="str">
        <f t="shared" si="60"/>
        <v>Corvus corax (Linnaeus, 1758)</v>
      </c>
      <c r="L258" s="12" t="str">
        <f t="shared" si="61"/>
        <v>Animalia|Chordata|Aves|Passeriformes|Corvidae|Corvus</v>
      </c>
      <c r="M258" s="12" t="s">
        <v>59</v>
      </c>
      <c r="N258" s="12" t="s">
        <v>60</v>
      </c>
      <c r="O258" s="12" t="s">
        <v>61</v>
      </c>
      <c r="P258" s="12" t="s">
        <v>62</v>
      </c>
      <c r="Q258" s="12" t="s">
        <v>63</v>
      </c>
      <c r="R258" s="12" t="s">
        <v>134</v>
      </c>
      <c r="S258" s="12" t="s">
        <v>790</v>
      </c>
      <c r="T258" s="12" t="s">
        <v>66</v>
      </c>
      <c r="U258" s="12" t="s">
        <v>791</v>
      </c>
      <c r="V258" s="12" t="s">
        <v>1167</v>
      </c>
      <c r="W258" s="12" t="s">
        <v>68</v>
      </c>
      <c r="X258" s="12">
        <v>41.9</v>
      </c>
      <c r="Y258" s="12">
        <v>12.483333</v>
      </c>
      <c r="Z258" s="14" t="s">
        <v>69</v>
      </c>
      <c r="AA258" s="12">
        <v>36625</v>
      </c>
      <c r="AB258" s="12" t="str">
        <f t="shared" ref="AB258:AB298" si="64">X258&amp;"/"&amp;Y258</f>
        <v>41.9/12.483333</v>
      </c>
      <c r="AC258" s="13" t="s">
        <v>1473</v>
      </c>
      <c r="AD258" s="25">
        <v>46054</v>
      </c>
      <c r="AE258" s="14" t="s">
        <v>70</v>
      </c>
      <c r="AF258" s="14" t="s">
        <v>71</v>
      </c>
      <c r="AG258" s="14" t="s">
        <v>72</v>
      </c>
      <c r="AH258" s="12" t="str">
        <f t="shared" si="62"/>
        <v>Europa | Italy | Lazio | Rome</v>
      </c>
      <c r="AI258" s="12" t="s">
        <v>73</v>
      </c>
      <c r="AJ258" s="12"/>
      <c r="AK258" s="12" t="s">
        <v>74</v>
      </c>
      <c r="AL258" s="12" t="str">
        <f t="shared" ref="AL258:AL298" si="65">IF(TRIM(AK258)="Italy","ITA",IF(TRIM(AK258)="Venezuela","VEN",IF(TRIM(AK258)="Brazil","BRA",IF(TRIM(AK258)="Ethiopia","ETH",IF(TRIM(AK258)="Equador","ECU",IF(TRIM(AK258)="France","FRA",IF(TRIM(AK258)="Australia","AUS",IF(TRIM(AK258)="Guatemala","GTM",IF(TRIM(AK258)="Antartica","AQ")))))))))</f>
        <v>ITA</v>
      </c>
      <c r="AM258" s="12" t="s">
        <v>75</v>
      </c>
      <c r="AN258" s="12" t="s">
        <v>153</v>
      </c>
      <c r="AO258" s="12" t="s">
        <v>57</v>
      </c>
      <c r="AP258" s="12" t="s">
        <v>77</v>
      </c>
      <c r="AQ258" s="12" t="s">
        <v>78</v>
      </c>
      <c r="AR258" s="12" t="s">
        <v>79</v>
      </c>
      <c r="AS258" s="12" t="s">
        <v>1428</v>
      </c>
      <c r="AT258" s="12"/>
      <c r="AU258" s="12" t="s">
        <v>789</v>
      </c>
      <c r="AV258" s="12">
        <v>1</v>
      </c>
      <c r="AW258" s="12">
        <v>1</v>
      </c>
      <c r="AX258" s="12" t="s">
        <v>81</v>
      </c>
      <c r="AY258" s="12" t="s">
        <v>82</v>
      </c>
      <c r="AZ258" s="12" t="s">
        <v>83</v>
      </c>
      <c r="BA258" s="12" t="s">
        <v>84</v>
      </c>
      <c r="BB258" s="12"/>
      <c r="BC258" s="27" t="s">
        <v>1997</v>
      </c>
      <c r="BD258" s="27" t="s">
        <v>1998</v>
      </c>
      <c r="BE258" s="12"/>
    </row>
    <row r="259" spans="1:57" x14ac:dyDescent="0.25">
      <c r="A259" s="12" t="s">
        <v>789</v>
      </c>
      <c r="B259" s="12" t="s">
        <v>57</v>
      </c>
      <c r="C259" s="12">
        <v>1881</v>
      </c>
      <c r="D259" s="12"/>
      <c r="E259" s="23"/>
      <c r="F259" s="12">
        <f t="shared" si="57"/>
        <v>1881</v>
      </c>
      <c r="G259" s="12"/>
      <c r="H259" s="12"/>
      <c r="I259" s="24">
        <f t="shared" si="63"/>
        <v>1881</v>
      </c>
      <c r="J259" s="12" t="s">
        <v>58</v>
      </c>
      <c r="K259" s="12" t="str">
        <f t="shared" si="60"/>
        <v>Corvus frugilegus (Linnaeus, 1758)</v>
      </c>
      <c r="L259" s="12" t="str">
        <f t="shared" si="61"/>
        <v>Animalia|Chordata|Aves|Passeriformes|Corvidae|Corvus</v>
      </c>
      <c r="M259" s="12" t="s">
        <v>59</v>
      </c>
      <c r="N259" s="12" t="s">
        <v>60</v>
      </c>
      <c r="O259" s="12" t="s">
        <v>61</v>
      </c>
      <c r="P259" s="12" t="s">
        <v>62</v>
      </c>
      <c r="Q259" s="12" t="s">
        <v>63</v>
      </c>
      <c r="R259" s="12" t="s">
        <v>134</v>
      </c>
      <c r="S259" s="12" t="s">
        <v>793</v>
      </c>
      <c r="T259" s="12" t="s">
        <v>66</v>
      </c>
      <c r="U259" s="12" t="s">
        <v>794</v>
      </c>
      <c r="V259" s="12"/>
      <c r="W259" s="12" t="s">
        <v>68</v>
      </c>
      <c r="X259" s="12">
        <v>41.9</v>
      </c>
      <c r="Y259" s="12">
        <v>12.483333</v>
      </c>
      <c r="Z259" s="14" t="s">
        <v>69</v>
      </c>
      <c r="AA259" s="12">
        <v>36625</v>
      </c>
      <c r="AB259" s="12" t="str">
        <f t="shared" si="64"/>
        <v>41.9/12.483333</v>
      </c>
      <c r="AC259" s="13" t="s">
        <v>1473</v>
      </c>
      <c r="AD259" s="25">
        <v>46054</v>
      </c>
      <c r="AE259" s="14" t="s">
        <v>70</v>
      </c>
      <c r="AF259" s="14" t="s">
        <v>71</v>
      </c>
      <c r="AG259" s="14" t="s">
        <v>72</v>
      </c>
      <c r="AH259" s="12" t="str">
        <f t="shared" si="62"/>
        <v>Europa | Italy | Lazio | Rome</v>
      </c>
      <c r="AI259" s="12" t="s">
        <v>73</v>
      </c>
      <c r="AJ259" s="12"/>
      <c r="AK259" s="12" t="s">
        <v>74</v>
      </c>
      <c r="AL259" s="12" t="str">
        <f t="shared" si="65"/>
        <v>ITA</v>
      </c>
      <c r="AM259" s="12" t="s">
        <v>75</v>
      </c>
      <c r="AN259" s="12" t="s">
        <v>153</v>
      </c>
      <c r="AO259" s="12" t="s">
        <v>57</v>
      </c>
      <c r="AP259" s="12" t="s">
        <v>77</v>
      </c>
      <c r="AQ259" s="12" t="s">
        <v>78</v>
      </c>
      <c r="AR259" s="12" t="s">
        <v>79</v>
      </c>
      <c r="AS259" s="12" t="s">
        <v>1429</v>
      </c>
      <c r="AT259" s="12" t="s">
        <v>92</v>
      </c>
      <c r="AU259" s="12" t="s">
        <v>792</v>
      </c>
      <c r="AV259" s="12">
        <v>1</v>
      </c>
      <c r="AW259" s="12">
        <v>1</v>
      </c>
      <c r="AX259" s="12" t="s">
        <v>81</v>
      </c>
      <c r="AY259" s="12" t="s">
        <v>82</v>
      </c>
      <c r="AZ259" s="12" t="s">
        <v>83</v>
      </c>
      <c r="BA259" s="12" t="s">
        <v>84</v>
      </c>
      <c r="BB259" s="12"/>
      <c r="BC259" s="27" t="s">
        <v>1999</v>
      </c>
      <c r="BD259" s="27" t="s">
        <v>2000</v>
      </c>
      <c r="BE259" s="12"/>
    </row>
    <row r="260" spans="1:57" x14ac:dyDescent="0.25">
      <c r="A260" s="12" t="s">
        <v>792</v>
      </c>
      <c r="B260" s="12" t="s">
        <v>57</v>
      </c>
      <c r="C260" s="12">
        <v>1885</v>
      </c>
      <c r="D260" s="12"/>
      <c r="E260" s="23"/>
      <c r="F260" s="12">
        <f t="shared" si="57"/>
        <v>1885</v>
      </c>
      <c r="G260" s="12"/>
      <c r="H260" s="12"/>
      <c r="I260" s="24">
        <f t="shared" si="63"/>
        <v>1885</v>
      </c>
      <c r="J260" s="12" t="s">
        <v>58</v>
      </c>
      <c r="K260" s="12" t="str">
        <f t="shared" si="60"/>
        <v>Coloeus monedula (Linnaeus, 1758)</v>
      </c>
      <c r="L260" s="12" t="str">
        <f t="shared" si="61"/>
        <v>Animalia|Chordata|Aves|Passeriformes|Corvidae|Coloeus</v>
      </c>
      <c r="M260" s="12" t="s">
        <v>59</v>
      </c>
      <c r="N260" s="12" t="s">
        <v>60</v>
      </c>
      <c r="O260" s="12" t="s">
        <v>61</v>
      </c>
      <c r="P260" s="12" t="s">
        <v>62</v>
      </c>
      <c r="Q260" s="12" t="s">
        <v>63</v>
      </c>
      <c r="R260" s="12" t="s">
        <v>983</v>
      </c>
      <c r="S260" s="12" t="s">
        <v>796</v>
      </c>
      <c r="T260" s="12" t="s">
        <v>66</v>
      </c>
      <c r="U260" s="12" t="s">
        <v>797</v>
      </c>
      <c r="V260" s="12" t="s">
        <v>1167</v>
      </c>
      <c r="W260" s="12" t="s">
        <v>68</v>
      </c>
      <c r="X260" s="12">
        <v>41.869748000000001</v>
      </c>
      <c r="Y260" s="12">
        <v>12.442645000000001</v>
      </c>
      <c r="Z260" s="14" t="s">
        <v>69</v>
      </c>
      <c r="AA260" s="12">
        <v>28880</v>
      </c>
      <c r="AB260" s="12" t="str">
        <f t="shared" si="64"/>
        <v>41.869748/12.442645</v>
      </c>
      <c r="AC260" s="13" t="s">
        <v>1473</v>
      </c>
      <c r="AD260" s="25">
        <v>46054</v>
      </c>
      <c r="AE260" s="14" t="s">
        <v>70</v>
      </c>
      <c r="AF260" s="14" t="s">
        <v>71</v>
      </c>
      <c r="AG260" s="14" t="s">
        <v>72</v>
      </c>
      <c r="AH260" s="12" t="str">
        <f t="shared" si="62"/>
        <v>Europa | Italy | Lazio | Ager Romanus</v>
      </c>
      <c r="AI260" s="12" t="s">
        <v>73</v>
      </c>
      <c r="AJ260" s="12"/>
      <c r="AK260" s="12" t="s">
        <v>74</v>
      </c>
      <c r="AL260" s="12" t="str">
        <f t="shared" si="65"/>
        <v>ITA</v>
      </c>
      <c r="AM260" s="12" t="s">
        <v>75</v>
      </c>
      <c r="AN260" s="12" t="s">
        <v>166</v>
      </c>
      <c r="AO260" s="12" t="s">
        <v>57</v>
      </c>
      <c r="AP260" s="12" t="s">
        <v>77</v>
      </c>
      <c r="AQ260" s="12" t="s">
        <v>78</v>
      </c>
      <c r="AR260" s="12" t="s">
        <v>79</v>
      </c>
      <c r="AS260" s="12" t="s">
        <v>1430</v>
      </c>
      <c r="AT260" s="12"/>
      <c r="AU260" s="12" t="s">
        <v>795</v>
      </c>
      <c r="AV260" s="12">
        <v>1</v>
      </c>
      <c r="AW260" s="12">
        <v>1</v>
      </c>
      <c r="AX260" s="12" t="s">
        <v>81</v>
      </c>
      <c r="AY260" s="12" t="s">
        <v>82</v>
      </c>
      <c r="AZ260" s="12" t="s">
        <v>83</v>
      </c>
      <c r="BA260" s="12" t="s">
        <v>84</v>
      </c>
      <c r="BB260" s="12"/>
      <c r="BC260" s="27" t="s">
        <v>2001</v>
      </c>
      <c r="BD260" s="27" t="s">
        <v>2002</v>
      </c>
      <c r="BE260" s="12"/>
    </row>
    <row r="261" spans="1:57" x14ac:dyDescent="0.25">
      <c r="A261" s="12" t="s">
        <v>795</v>
      </c>
      <c r="B261" s="12" t="s">
        <v>57</v>
      </c>
      <c r="C261" s="12">
        <v>1885</v>
      </c>
      <c r="D261" s="12"/>
      <c r="E261" s="23"/>
      <c r="F261" s="12">
        <f t="shared" si="57"/>
        <v>1885</v>
      </c>
      <c r="G261" s="12"/>
      <c r="H261" s="12"/>
      <c r="I261" s="24">
        <f t="shared" si="63"/>
        <v>1885</v>
      </c>
      <c r="J261" s="12" t="s">
        <v>58</v>
      </c>
      <c r="K261" s="12" t="str">
        <f t="shared" si="60"/>
        <v>Coloeus monedula (Linnaeus, 1758)</v>
      </c>
      <c r="L261" s="12" t="str">
        <f t="shared" si="61"/>
        <v>Animalia|Chordata|Aves|Passeriformes|Corvidae|Coloeus</v>
      </c>
      <c r="M261" s="12" t="s">
        <v>59</v>
      </c>
      <c r="N261" s="12" t="s">
        <v>60</v>
      </c>
      <c r="O261" s="12" t="s">
        <v>61</v>
      </c>
      <c r="P261" s="12" t="s">
        <v>62</v>
      </c>
      <c r="Q261" s="12" t="s">
        <v>63</v>
      </c>
      <c r="R261" s="12" t="s">
        <v>983</v>
      </c>
      <c r="S261" s="12" t="s">
        <v>796</v>
      </c>
      <c r="T261" s="12" t="s">
        <v>66</v>
      </c>
      <c r="U261" s="12" t="s">
        <v>797</v>
      </c>
      <c r="V261" s="12" t="s">
        <v>1167</v>
      </c>
      <c r="W261" s="12" t="s">
        <v>68</v>
      </c>
      <c r="X261" s="12">
        <v>41.869748000000001</v>
      </c>
      <c r="Y261" s="12">
        <v>12.442645000000001</v>
      </c>
      <c r="Z261" s="14" t="s">
        <v>69</v>
      </c>
      <c r="AA261" s="12">
        <v>28880</v>
      </c>
      <c r="AB261" s="12" t="str">
        <f t="shared" si="64"/>
        <v>41.869748/12.442645</v>
      </c>
      <c r="AC261" s="13" t="s">
        <v>1473</v>
      </c>
      <c r="AD261" s="25">
        <v>46054</v>
      </c>
      <c r="AE261" s="14" t="s">
        <v>70</v>
      </c>
      <c r="AF261" s="14" t="s">
        <v>71</v>
      </c>
      <c r="AG261" s="14" t="s">
        <v>72</v>
      </c>
      <c r="AH261" s="12" t="str">
        <f t="shared" si="62"/>
        <v>Europa | Italy | Lazio | Ager Romanus</v>
      </c>
      <c r="AI261" s="12" t="s">
        <v>73</v>
      </c>
      <c r="AJ261" s="12"/>
      <c r="AK261" s="12" t="s">
        <v>74</v>
      </c>
      <c r="AL261" s="12" t="str">
        <f t="shared" si="65"/>
        <v>ITA</v>
      </c>
      <c r="AM261" s="12" t="s">
        <v>75</v>
      </c>
      <c r="AN261" s="12" t="s">
        <v>166</v>
      </c>
      <c r="AO261" s="12" t="s">
        <v>57</v>
      </c>
      <c r="AP261" s="12" t="s">
        <v>77</v>
      </c>
      <c r="AQ261" s="12" t="s">
        <v>78</v>
      </c>
      <c r="AR261" s="12" t="s">
        <v>79</v>
      </c>
      <c r="AS261" s="12" t="s">
        <v>1431</v>
      </c>
      <c r="AT261" s="12"/>
      <c r="AU261" s="12" t="s">
        <v>798</v>
      </c>
      <c r="AV261" s="12">
        <v>1</v>
      </c>
      <c r="AW261" s="12">
        <v>1</v>
      </c>
      <c r="AX261" s="12" t="s">
        <v>81</v>
      </c>
      <c r="AY261" s="12" t="s">
        <v>82</v>
      </c>
      <c r="AZ261" s="12" t="s">
        <v>83</v>
      </c>
      <c r="BA261" s="12" t="s">
        <v>84</v>
      </c>
      <c r="BB261" s="12"/>
      <c r="BC261" s="27" t="s">
        <v>2003</v>
      </c>
      <c r="BD261" s="27" t="s">
        <v>2004</v>
      </c>
      <c r="BE261" s="12"/>
    </row>
    <row r="262" spans="1:57" x14ac:dyDescent="0.25">
      <c r="A262" s="12" t="s">
        <v>798</v>
      </c>
      <c r="B262" s="12" t="s">
        <v>57</v>
      </c>
      <c r="C262" s="25">
        <v>22573</v>
      </c>
      <c r="D262" s="12">
        <f t="shared" si="55"/>
        <v>292</v>
      </c>
      <c r="E262" s="23">
        <f t="shared" si="56"/>
        <v>292</v>
      </c>
      <c r="F262" s="12">
        <f t="shared" si="57"/>
        <v>1961</v>
      </c>
      <c r="G262" s="12">
        <f t="shared" si="58"/>
        <v>10</v>
      </c>
      <c r="H262" s="12">
        <f t="shared" si="59"/>
        <v>19</v>
      </c>
      <c r="I262" s="24">
        <f t="shared" si="63"/>
        <v>22573</v>
      </c>
      <c r="J262" s="12" t="s">
        <v>58</v>
      </c>
      <c r="K262" s="12" t="str">
        <f t="shared" si="60"/>
        <v>Corvus corone (Linnaeus, 1758)</v>
      </c>
      <c r="L262" s="12" t="str">
        <f t="shared" si="61"/>
        <v>Animalia|Chordata|Aves|Passeriformes|Corvidae|Corvus</v>
      </c>
      <c r="M262" s="12" t="s">
        <v>59</v>
      </c>
      <c r="N262" s="12" t="s">
        <v>60</v>
      </c>
      <c r="O262" s="12" t="s">
        <v>61</v>
      </c>
      <c r="P262" s="12" t="s">
        <v>62</v>
      </c>
      <c r="Q262" s="12" t="s">
        <v>63</v>
      </c>
      <c r="R262" s="12" t="s">
        <v>134</v>
      </c>
      <c r="S262" s="12" t="s">
        <v>800</v>
      </c>
      <c r="T262" s="12" t="s">
        <v>66</v>
      </c>
      <c r="U262" s="12" t="s">
        <v>801</v>
      </c>
      <c r="V262" s="12" t="s">
        <v>1165</v>
      </c>
      <c r="W262" s="12" t="s">
        <v>68</v>
      </c>
      <c r="X262" s="12">
        <v>44.315807</v>
      </c>
      <c r="Y262" s="12">
        <v>7.2936329999999998</v>
      </c>
      <c r="Z262" s="14" t="s">
        <v>69</v>
      </c>
      <c r="AA262" s="12">
        <v>862</v>
      </c>
      <c r="AB262" s="12" t="str">
        <f t="shared" si="64"/>
        <v>44.315807/7.293633</v>
      </c>
      <c r="AC262" s="13" t="s">
        <v>1473</v>
      </c>
      <c r="AD262" s="25">
        <v>46054</v>
      </c>
      <c r="AE262" s="14" t="s">
        <v>70</v>
      </c>
      <c r="AF262" s="14" t="s">
        <v>71</v>
      </c>
      <c r="AG262" s="14" t="s">
        <v>72</v>
      </c>
      <c r="AH262" s="12" t="str">
        <f t="shared" si="62"/>
        <v>Europa | Italy | Piedmont | Demonte</v>
      </c>
      <c r="AI262" s="12" t="s">
        <v>73</v>
      </c>
      <c r="AJ262" s="12"/>
      <c r="AK262" s="12" t="s">
        <v>74</v>
      </c>
      <c r="AL262" s="12" t="str">
        <f t="shared" si="65"/>
        <v>ITA</v>
      </c>
      <c r="AM262" s="12" t="s">
        <v>90</v>
      </c>
      <c r="AN262" s="12" t="s">
        <v>802</v>
      </c>
      <c r="AO262" s="12" t="s">
        <v>57</v>
      </c>
      <c r="AP262" s="12" t="s">
        <v>77</v>
      </c>
      <c r="AQ262" s="12" t="s">
        <v>78</v>
      </c>
      <c r="AR262" s="12" t="s">
        <v>79</v>
      </c>
      <c r="AS262" s="12" t="s">
        <v>1432</v>
      </c>
      <c r="AT262" s="12" t="s">
        <v>80</v>
      </c>
      <c r="AU262" s="12" t="s">
        <v>799</v>
      </c>
      <c r="AV262" s="12">
        <v>1</v>
      </c>
      <c r="AW262" s="12">
        <v>1</v>
      </c>
      <c r="AX262" s="12" t="s">
        <v>81</v>
      </c>
      <c r="AY262" s="12" t="s">
        <v>82</v>
      </c>
      <c r="AZ262" s="12" t="s">
        <v>83</v>
      </c>
      <c r="BA262" s="12" t="s">
        <v>84</v>
      </c>
      <c r="BB262" s="12"/>
      <c r="BC262" s="27" t="s">
        <v>2005</v>
      </c>
      <c r="BD262" s="27" t="s">
        <v>2006</v>
      </c>
      <c r="BE262" s="12"/>
    </row>
    <row r="263" spans="1:57" x14ac:dyDescent="0.25">
      <c r="A263" s="12" t="s">
        <v>799</v>
      </c>
      <c r="B263" s="12" t="s">
        <v>57</v>
      </c>
      <c r="C263" s="12">
        <v>1891</v>
      </c>
      <c r="D263" s="12"/>
      <c r="E263" s="23"/>
      <c r="F263" s="12">
        <f t="shared" si="57"/>
        <v>1891</v>
      </c>
      <c r="G263" s="12"/>
      <c r="H263" s="12"/>
      <c r="I263" s="24">
        <f t="shared" si="63"/>
        <v>1891</v>
      </c>
      <c r="J263" s="12" t="s">
        <v>58</v>
      </c>
      <c r="K263" s="12" t="str">
        <f t="shared" si="60"/>
        <v>Corvus corone (Linnaeus, 1758)</v>
      </c>
      <c r="L263" s="12" t="str">
        <f t="shared" si="61"/>
        <v>Animalia|Chordata|Aves|Passeriformes|Corvidae|Corvus</v>
      </c>
      <c r="M263" s="12" t="s">
        <v>59</v>
      </c>
      <c r="N263" s="12" t="s">
        <v>60</v>
      </c>
      <c r="O263" s="12" t="s">
        <v>61</v>
      </c>
      <c r="P263" s="12" t="s">
        <v>62</v>
      </c>
      <c r="Q263" s="12" t="s">
        <v>63</v>
      </c>
      <c r="R263" s="12" t="s">
        <v>134</v>
      </c>
      <c r="S263" s="12" t="s">
        <v>800</v>
      </c>
      <c r="T263" s="12" t="s">
        <v>66</v>
      </c>
      <c r="U263" s="12" t="s">
        <v>801</v>
      </c>
      <c r="V263" s="12"/>
      <c r="W263" s="12" t="s">
        <v>68</v>
      </c>
      <c r="X263" s="12">
        <v>41.9</v>
      </c>
      <c r="Y263" s="12">
        <v>12.483333</v>
      </c>
      <c r="Z263" s="14" t="s">
        <v>69</v>
      </c>
      <c r="AA263" s="12">
        <v>36625</v>
      </c>
      <c r="AB263" s="12" t="str">
        <f t="shared" si="64"/>
        <v>41.9/12.483333</v>
      </c>
      <c r="AC263" s="13" t="s">
        <v>1473</v>
      </c>
      <c r="AD263" s="25">
        <v>46054</v>
      </c>
      <c r="AE263" s="14" t="s">
        <v>70</v>
      </c>
      <c r="AF263" s="14" t="s">
        <v>71</v>
      </c>
      <c r="AG263" s="14" t="s">
        <v>72</v>
      </c>
      <c r="AH263" s="12" t="str">
        <f t="shared" si="62"/>
        <v>Europa | Italy | Lazio | Rome</v>
      </c>
      <c r="AI263" s="12" t="s">
        <v>73</v>
      </c>
      <c r="AJ263" s="12"/>
      <c r="AK263" s="12" t="s">
        <v>74</v>
      </c>
      <c r="AL263" s="12" t="str">
        <f t="shared" si="65"/>
        <v>ITA</v>
      </c>
      <c r="AM263" s="12" t="s">
        <v>75</v>
      </c>
      <c r="AN263" s="12" t="s">
        <v>153</v>
      </c>
      <c r="AO263" s="12" t="s">
        <v>57</v>
      </c>
      <c r="AP263" s="12" t="s">
        <v>77</v>
      </c>
      <c r="AQ263" s="12" t="s">
        <v>78</v>
      </c>
      <c r="AR263" s="12" t="s">
        <v>79</v>
      </c>
      <c r="AS263" s="12" t="s">
        <v>1433</v>
      </c>
      <c r="AT263" s="12"/>
      <c r="AU263" s="12" t="s">
        <v>803</v>
      </c>
      <c r="AV263" s="12">
        <v>1</v>
      </c>
      <c r="AW263" s="12">
        <v>1</v>
      </c>
      <c r="AX263" s="12" t="s">
        <v>81</v>
      </c>
      <c r="AY263" s="12" t="s">
        <v>82</v>
      </c>
      <c r="AZ263" s="12" t="s">
        <v>83</v>
      </c>
      <c r="BA263" s="12" t="s">
        <v>84</v>
      </c>
      <c r="BB263" s="12"/>
      <c r="BC263" s="27" t="s">
        <v>2007</v>
      </c>
      <c r="BD263" s="27" t="s">
        <v>2008</v>
      </c>
      <c r="BE263" s="12"/>
    </row>
    <row r="264" spans="1:57" x14ac:dyDescent="0.25">
      <c r="A264" s="12" t="s">
        <v>803</v>
      </c>
      <c r="B264" s="12" t="s">
        <v>57</v>
      </c>
      <c r="C264" s="12">
        <v>1960</v>
      </c>
      <c r="D264" s="12"/>
      <c r="E264" s="23"/>
      <c r="F264" s="12">
        <f t="shared" si="57"/>
        <v>1960</v>
      </c>
      <c r="G264" s="12"/>
      <c r="H264" s="12"/>
      <c r="I264" s="24">
        <f t="shared" si="63"/>
        <v>1960</v>
      </c>
      <c r="J264" s="12" t="s">
        <v>58</v>
      </c>
      <c r="K264" s="12" t="str">
        <f t="shared" si="60"/>
        <v>Pyrrhocorax pyrrhocorax (Linnaeus, 1758)</v>
      </c>
      <c r="L264" s="12" t="str">
        <f t="shared" si="61"/>
        <v>Animalia|Chordata|Aves|Passeriformes|Corvidae|Pyrrhocorax</v>
      </c>
      <c r="M264" s="12" t="s">
        <v>59</v>
      </c>
      <c r="N264" s="12" t="s">
        <v>60</v>
      </c>
      <c r="O264" s="12" t="s">
        <v>61</v>
      </c>
      <c r="P264" s="12" t="s">
        <v>62</v>
      </c>
      <c r="Q264" s="12" t="s">
        <v>63</v>
      </c>
      <c r="R264" s="12" t="s">
        <v>87</v>
      </c>
      <c r="S264" s="12" t="s">
        <v>805</v>
      </c>
      <c r="T264" s="12" t="s">
        <v>66</v>
      </c>
      <c r="U264" s="12" t="s">
        <v>806</v>
      </c>
      <c r="V264" s="12" t="s">
        <v>1165</v>
      </c>
      <c r="W264" s="12" t="s">
        <v>68</v>
      </c>
      <c r="X264" s="12">
        <v>44.200369000000002</v>
      </c>
      <c r="Y264" s="12">
        <v>7.5717309999999998</v>
      </c>
      <c r="Z264" s="14" t="s">
        <v>69</v>
      </c>
      <c r="AA264" s="12">
        <v>1470</v>
      </c>
      <c r="AB264" s="12" t="str">
        <f t="shared" si="64"/>
        <v>44.200369/7.571731</v>
      </c>
      <c r="AC264" s="13" t="s">
        <v>1473</v>
      </c>
      <c r="AD264" s="25">
        <v>46054</v>
      </c>
      <c r="AE264" s="14" t="s">
        <v>70</v>
      </c>
      <c r="AF264" s="14" t="s">
        <v>71</v>
      </c>
      <c r="AG264" s="14" t="s">
        <v>72</v>
      </c>
      <c r="AH264" s="12" t="str">
        <f t="shared" si="62"/>
        <v>Europa | Italy | Piedmont | Limone Piemonte</v>
      </c>
      <c r="AI264" s="12" t="s">
        <v>73</v>
      </c>
      <c r="AJ264" s="12"/>
      <c r="AK264" s="12" t="s">
        <v>74</v>
      </c>
      <c r="AL264" s="12" t="str">
        <f t="shared" si="65"/>
        <v>ITA</v>
      </c>
      <c r="AM264" s="12" t="s">
        <v>90</v>
      </c>
      <c r="AN264" s="12" t="s">
        <v>91</v>
      </c>
      <c r="AO264" s="12" t="s">
        <v>57</v>
      </c>
      <c r="AP264" s="12" t="s">
        <v>77</v>
      </c>
      <c r="AQ264" s="12" t="s">
        <v>78</v>
      </c>
      <c r="AR264" s="12" t="s">
        <v>79</v>
      </c>
      <c r="AS264" s="12" t="s">
        <v>1434</v>
      </c>
      <c r="AT264" s="12" t="s">
        <v>92</v>
      </c>
      <c r="AU264" s="12" t="s">
        <v>804</v>
      </c>
      <c r="AV264" s="12">
        <v>1</v>
      </c>
      <c r="AW264" s="12">
        <v>1</v>
      </c>
      <c r="AX264" s="12" t="s">
        <v>81</v>
      </c>
      <c r="AY264" s="12" t="s">
        <v>82</v>
      </c>
      <c r="AZ264" s="12" t="s">
        <v>83</v>
      </c>
      <c r="BA264" s="12" t="s">
        <v>84</v>
      </c>
      <c r="BB264" s="12"/>
      <c r="BC264" s="27" t="s">
        <v>2009</v>
      </c>
      <c r="BD264" s="27" t="s">
        <v>2010</v>
      </c>
      <c r="BE264" s="12"/>
    </row>
    <row r="265" spans="1:57" x14ac:dyDescent="0.25">
      <c r="A265" s="12" t="s">
        <v>804</v>
      </c>
      <c r="B265" s="12" t="s">
        <v>57</v>
      </c>
      <c r="C265" s="12">
        <v>1875</v>
      </c>
      <c r="D265" s="12"/>
      <c r="E265" s="23"/>
      <c r="F265" s="12">
        <f t="shared" si="57"/>
        <v>1875</v>
      </c>
      <c r="G265" s="12"/>
      <c r="H265" s="12"/>
      <c r="I265" s="24">
        <f t="shared" si="63"/>
        <v>1875</v>
      </c>
      <c r="J265" s="12" t="s">
        <v>86</v>
      </c>
      <c r="K265" s="12" t="str">
        <f t="shared" si="60"/>
        <v>Pyrrhocorax graculus (Linnaeus, 1766)</v>
      </c>
      <c r="L265" s="12" t="str">
        <f t="shared" si="61"/>
        <v>Animalia|Chordata|Aves|Passeriformes|Corvidae|Pyrrhocorax</v>
      </c>
      <c r="M265" s="12" t="s">
        <v>59</v>
      </c>
      <c r="N265" s="12" t="s">
        <v>60</v>
      </c>
      <c r="O265" s="12" t="s">
        <v>61</v>
      </c>
      <c r="P265" s="12" t="s">
        <v>62</v>
      </c>
      <c r="Q265" s="12" t="s">
        <v>63</v>
      </c>
      <c r="R265" s="12" t="s">
        <v>87</v>
      </c>
      <c r="S265" s="12" t="s">
        <v>88</v>
      </c>
      <c r="T265" s="12" t="s">
        <v>66</v>
      </c>
      <c r="U265" s="12" t="s">
        <v>89</v>
      </c>
      <c r="V265" s="12"/>
      <c r="W265" s="12" t="s">
        <v>68</v>
      </c>
      <c r="X265" s="12">
        <v>42.828094</v>
      </c>
      <c r="Y265" s="12">
        <v>13.265313000000001</v>
      </c>
      <c r="Z265" s="14" t="s">
        <v>69</v>
      </c>
      <c r="AA265" s="12">
        <v>10173</v>
      </c>
      <c r="AB265" s="12" t="str">
        <f t="shared" si="64"/>
        <v>42.828094/13.265313</v>
      </c>
      <c r="AC265" s="13" t="s">
        <v>1473</v>
      </c>
      <c r="AD265" s="25">
        <v>46054</v>
      </c>
      <c r="AE265" s="14" t="s">
        <v>70</v>
      </c>
      <c r="AF265" s="14" t="s">
        <v>71</v>
      </c>
      <c r="AG265" s="14" t="s">
        <v>72</v>
      </c>
      <c r="AH265" s="12" t="str">
        <f t="shared" si="62"/>
        <v>Europa | Italy | Marche | Sibillini Mountains</v>
      </c>
      <c r="AI265" s="12" t="s">
        <v>73</v>
      </c>
      <c r="AJ265" s="12"/>
      <c r="AK265" s="12" t="s">
        <v>74</v>
      </c>
      <c r="AL265" s="12" t="str">
        <f t="shared" si="65"/>
        <v>ITA</v>
      </c>
      <c r="AM265" s="12" t="s">
        <v>808</v>
      </c>
      <c r="AN265" s="12" t="s">
        <v>809</v>
      </c>
      <c r="AO265" s="12" t="s">
        <v>57</v>
      </c>
      <c r="AP265" s="12" t="s">
        <v>77</v>
      </c>
      <c r="AQ265" s="12" t="s">
        <v>78</v>
      </c>
      <c r="AR265" s="12" t="s">
        <v>79</v>
      </c>
      <c r="AS265" s="12" t="s">
        <v>1435</v>
      </c>
      <c r="AT265" s="12"/>
      <c r="AU265" s="12" t="s">
        <v>807</v>
      </c>
      <c r="AV265" s="12">
        <v>1</v>
      </c>
      <c r="AW265" s="12">
        <v>1</v>
      </c>
      <c r="AX265" s="12" t="s">
        <v>81</v>
      </c>
      <c r="AY265" s="12" t="s">
        <v>82</v>
      </c>
      <c r="AZ265" s="12" t="s">
        <v>83</v>
      </c>
      <c r="BA265" s="12" t="s">
        <v>84</v>
      </c>
      <c r="BB265" s="12"/>
      <c r="BC265" s="27" t="s">
        <v>2011</v>
      </c>
      <c r="BD265" s="27" t="s">
        <v>2012</v>
      </c>
      <c r="BE265" s="12"/>
    </row>
    <row r="266" spans="1:57" x14ac:dyDescent="0.25">
      <c r="A266" s="12" t="s">
        <v>807</v>
      </c>
      <c r="B266" s="12" t="s">
        <v>57</v>
      </c>
      <c r="C266" s="25">
        <v>22579</v>
      </c>
      <c r="D266" s="12">
        <f t="shared" si="55"/>
        <v>298</v>
      </c>
      <c r="E266" s="23">
        <f t="shared" si="56"/>
        <v>298</v>
      </c>
      <c r="F266" s="12">
        <f t="shared" si="57"/>
        <v>1961</v>
      </c>
      <c r="G266" s="12">
        <f t="shared" si="58"/>
        <v>10</v>
      </c>
      <c r="H266" s="12">
        <f t="shared" si="59"/>
        <v>25</v>
      </c>
      <c r="I266" s="24">
        <f t="shared" si="63"/>
        <v>22579</v>
      </c>
      <c r="J266" s="12" t="s">
        <v>86</v>
      </c>
      <c r="K266" s="12" t="str">
        <f t="shared" si="60"/>
        <v>Pyrrhocorax graculus (Linnaeus, 1766)</v>
      </c>
      <c r="L266" s="12" t="str">
        <f t="shared" si="61"/>
        <v>Animalia|Chordata|Aves|Passeriformes|Corvidae|Pyrrhocorax</v>
      </c>
      <c r="M266" s="12" t="s">
        <v>59</v>
      </c>
      <c r="N266" s="12" t="s">
        <v>60</v>
      </c>
      <c r="O266" s="12" t="s">
        <v>61</v>
      </c>
      <c r="P266" s="12" t="s">
        <v>62</v>
      </c>
      <c r="Q266" s="12" t="s">
        <v>63</v>
      </c>
      <c r="R266" s="12" t="s">
        <v>87</v>
      </c>
      <c r="S266" s="12" t="s">
        <v>88</v>
      </c>
      <c r="T266" s="12" t="s">
        <v>66</v>
      </c>
      <c r="U266" s="12" t="s">
        <v>89</v>
      </c>
      <c r="V266" s="12" t="s">
        <v>1165</v>
      </c>
      <c r="W266" s="12" t="s">
        <v>68</v>
      </c>
      <c r="X266" s="12">
        <v>44.362403999999998</v>
      </c>
      <c r="Y266" s="12">
        <v>6.9602209999999998</v>
      </c>
      <c r="Z266" s="14" t="s">
        <v>69</v>
      </c>
      <c r="AA266" s="12">
        <v>957</v>
      </c>
      <c r="AB266" s="12" t="str">
        <f t="shared" si="64"/>
        <v>44.362404/6.960221</v>
      </c>
      <c r="AC266" s="13" t="s">
        <v>1473</v>
      </c>
      <c r="AD266" s="25">
        <v>46054</v>
      </c>
      <c r="AE266" s="14" t="s">
        <v>70</v>
      </c>
      <c r="AF266" s="14" t="s">
        <v>71</v>
      </c>
      <c r="AG266" s="14" t="s">
        <v>72</v>
      </c>
      <c r="AH266" s="12" t="str">
        <f t="shared" si="62"/>
        <v>Europa | Italy | Piedmont | Ferrere da Bersezio</v>
      </c>
      <c r="AI266" s="12" t="s">
        <v>73</v>
      </c>
      <c r="AJ266" s="12"/>
      <c r="AK266" s="12" t="s">
        <v>74</v>
      </c>
      <c r="AL266" s="12" t="str">
        <f t="shared" si="65"/>
        <v>ITA</v>
      </c>
      <c r="AM266" s="12" t="s">
        <v>90</v>
      </c>
      <c r="AN266" s="12" t="s">
        <v>811</v>
      </c>
      <c r="AO266" s="12" t="s">
        <v>57</v>
      </c>
      <c r="AP266" s="12" t="s">
        <v>77</v>
      </c>
      <c r="AQ266" s="12" t="s">
        <v>78</v>
      </c>
      <c r="AR266" s="12" t="s">
        <v>79</v>
      </c>
      <c r="AS266" s="12" t="s">
        <v>1436</v>
      </c>
      <c r="AT266" s="12" t="s">
        <v>80</v>
      </c>
      <c r="AU266" s="12" t="s">
        <v>810</v>
      </c>
      <c r="AV266" s="12">
        <v>1</v>
      </c>
      <c r="AW266" s="12">
        <v>1</v>
      </c>
      <c r="AX266" s="12" t="s">
        <v>81</v>
      </c>
      <c r="AY266" s="12" t="s">
        <v>82</v>
      </c>
      <c r="AZ266" s="12" t="s">
        <v>83</v>
      </c>
      <c r="BA266" s="12" t="s">
        <v>84</v>
      </c>
      <c r="BB266" s="12"/>
      <c r="BC266" s="27" t="s">
        <v>2013</v>
      </c>
      <c r="BD266" s="27" t="s">
        <v>2014</v>
      </c>
      <c r="BE266" s="12"/>
    </row>
    <row r="267" spans="1:57" x14ac:dyDescent="0.25">
      <c r="A267" s="12" t="s">
        <v>810</v>
      </c>
      <c r="B267" s="12" t="s">
        <v>57</v>
      </c>
      <c r="C267" s="12">
        <v>1960</v>
      </c>
      <c r="D267" s="12"/>
      <c r="E267" s="23"/>
      <c r="F267" s="12">
        <f t="shared" si="57"/>
        <v>1960</v>
      </c>
      <c r="G267" s="12"/>
      <c r="H267" s="12"/>
      <c r="I267" s="24">
        <f t="shared" si="63"/>
        <v>1960</v>
      </c>
      <c r="J267" s="12" t="s">
        <v>86</v>
      </c>
      <c r="K267" s="12" t="str">
        <f t="shared" si="60"/>
        <v>Pyrrhocorax graculus (Linnaeus, 1766)</v>
      </c>
      <c r="L267" s="12" t="str">
        <f t="shared" si="61"/>
        <v>Animalia|Chordata|Aves|Passeriformes|Corvidae|Pyrrhocorax</v>
      </c>
      <c r="M267" s="12" t="s">
        <v>59</v>
      </c>
      <c r="N267" s="12" t="s">
        <v>60</v>
      </c>
      <c r="O267" s="12" t="s">
        <v>61</v>
      </c>
      <c r="P267" s="12" t="s">
        <v>62</v>
      </c>
      <c r="Q267" s="12" t="s">
        <v>63</v>
      </c>
      <c r="R267" s="12" t="s">
        <v>87</v>
      </c>
      <c r="S267" s="12" t="s">
        <v>88</v>
      </c>
      <c r="T267" s="12" t="s">
        <v>66</v>
      </c>
      <c r="U267" s="12" t="s">
        <v>89</v>
      </c>
      <c r="V267" s="12" t="s">
        <v>1165</v>
      </c>
      <c r="W267" s="12" t="s">
        <v>68</v>
      </c>
      <c r="X267" s="12">
        <v>44.200369000000002</v>
      </c>
      <c r="Y267" s="12">
        <v>7.5717309999999998</v>
      </c>
      <c r="Z267" s="14" t="s">
        <v>69</v>
      </c>
      <c r="AA267" s="12">
        <v>1470</v>
      </c>
      <c r="AB267" s="12" t="str">
        <f t="shared" si="64"/>
        <v>44.200369/7.571731</v>
      </c>
      <c r="AC267" s="13" t="s">
        <v>1473</v>
      </c>
      <c r="AD267" s="25">
        <v>46054</v>
      </c>
      <c r="AE267" s="14" t="s">
        <v>70</v>
      </c>
      <c r="AF267" s="14" t="s">
        <v>71</v>
      </c>
      <c r="AG267" s="14" t="s">
        <v>72</v>
      </c>
      <c r="AH267" s="12" t="str">
        <f t="shared" si="62"/>
        <v>Europa | Italy | Piedmont | Limone Piemonte</v>
      </c>
      <c r="AI267" s="12" t="s">
        <v>73</v>
      </c>
      <c r="AJ267" s="12"/>
      <c r="AK267" s="12" t="s">
        <v>74</v>
      </c>
      <c r="AL267" s="12" t="str">
        <f t="shared" si="65"/>
        <v>ITA</v>
      </c>
      <c r="AM267" s="12" t="s">
        <v>90</v>
      </c>
      <c r="AN267" s="12" t="s">
        <v>91</v>
      </c>
      <c r="AO267" s="12" t="s">
        <v>57</v>
      </c>
      <c r="AP267" s="12" t="s">
        <v>77</v>
      </c>
      <c r="AQ267" s="12" t="s">
        <v>78</v>
      </c>
      <c r="AR267" s="12" t="s">
        <v>79</v>
      </c>
      <c r="AS267" s="12" t="s">
        <v>1437</v>
      </c>
      <c r="AT267" s="12" t="s">
        <v>80</v>
      </c>
      <c r="AU267" s="12" t="s">
        <v>812</v>
      </c>
      <c r="AV267" s="12">
        <v>1</v>
      </c>
      <c r="AW267" s="12">
        <v>1</v>
      </c>
      <c r="AX267" s="12" t="s">
        <v>81</v>
      </c>
      <c r="AY267" s="12" t="s">
        <v>82</v>
      </c>
      <c r="AZ267" s="12" t="s">
        <v>83</v>
      </c>
      <c r="BA267" s="12" t="s">
        <v>84</v>
      </c>
      <c r="BB267" s="12"/>
      <c r="BC267" s="27" t="s">
        <v>2013</v>
      </c>
      <c r="BD267" s="27" t="s">
        <v>2014</v>
      </c>
      <c r="BE267" s="12"/>
    </row>
    <row r="268" spans="1:57" x14ac:dyDescent="0.25">
      <c r="A268" s="12" t="s">
        <v>812</v>
      </c>
      <c r="B268" s="12" t="s">
        <v>57</v>
      </c>
      <c r="C268" s="25">
        <v>21843</v>
      </c>
      <c r="D268" s="12">
        <f t="shared" ref="D268" si="66">IFERROR(C268-DATE(YEAR(C268),1,1)+1,"")</f>
        <v>293</v>
      </c>
      <c r="E268" s="23">
        <f t="shared" ref="E268" si="67">IFERROR(C268-DATE(YEAR(C268),1,1)+1,"")</f>
        <v>293</v>
      </c>
      <c r="F268" s="12">
        <f t="shared" si="57"/>
        <v>1959</v>
      </c>
      <c r="G268" s="12">
        <f t="shared" ref="G268" si="68">IFERROR(MONTH(C268),"")</f>
        <v>10</v>
      </c>
      <c r="H268" s="12">
        <f t="shared" ref="H268" si="69">IFERROR(DAY(C268),"")</f>
        <v>20</v>
      </c>
      <c r="I268" s="24">
        <f t="shared" si="63"/>
        <v>21843</v>
      </c>
      <c r="J268" s="12" t="s">
        <v>58</v>
      </c>
      <c r="K268" s="12" t="str">
        <f t="shared" si="60"/>
        <v>Fringilla coelebs (Linnaeus, 1758)</v>
      </c>
      <c r="L268" s="12" t="str">
        <f t="shared" si="61"/>
        <v>Animalia|Chordata|Aves|Passeriformes|Fringillinae|Fringilla</v>
      </c>
      <c r="M268" s="12" t="s">
        <v>59</v>
      </c>
      <c r="N268" s="12" t="s">
        <v>60</v>
      </c>
      <c r="O268" s="12" t="s">
        <v>61</v>
      </c>
      <c r="P268" s="12" t="s">
        <v>62</v>
      </c>
      <c r="Q268" s="12" t="s">
        <v>181</v>
      </c>
      <c r="R268" s="12" t="s">
        <v>888</v>
      </c>
      <c r="S268" s="12" t="s">
        <v>182</v>
      </c>
      <c r="T268" s="12" t="s">
        <v>66</v>
      </c>
      <c r="U268" s="12" t="s">
        <v>183</v>
      </c>
      <c r="V268" s="12" t="s">
        <v>1167</v>
      </c>
      <c r="W268" s="12" t="s">
        <v>68</v>
      </c>
      <c r="X268" s="12">
        <v>41.9</v>
      </c>
      <c r="Y268" s="12">
        <v>12.483333</v>
      </c>
      <c r="Z268" s="14" t="s">
        <v>69</v>
      </c>
      <c r="AA268" s="12">
        <v>36625</v>
      </c>
      <c r="AB268" s="12" t="str">
        <f t="shared" si="64"/>
        <v>41.9/12.483333</v>
      </c>
      <c r="AC268" s="13" t="s">
        <v>1473</v>
      </c>
      <c r="AD268" s="25">
        <v>46054</v>
      </c>
      <c r="AE268" s="14" t="s">
        <v>70</v>
      </c>
      <c r="AF268" s="14" t="s">
        <v>71</v>
      </c>
      <c r="AG268" s="14" t="s">
        <v>72</v>
      </c>
      <c r="AH268" s="12" t="str">
        <f t="shared" si="62"/>
        <v>Europa | Italy | Lazio | Rome</v>
      </c>
      <c r="AI268" s="12" t="s">
        <v>73</v>
      </c>
      <c r="AJ268" s="12"/>
      <c r="AK268" s="12" t="s">
        <v>74</v>
      </c>
      <c r="AL268" s="12" t="str">
        <f t="shared" si="65"/>
        <v>ITA</v>
      </c>
      <c r="AM268" s="12" t="s">
        <v>75</v>
      </c>
      <c r="AN268" s="12" t="s">
        <v>153</v>
      </c>
      <c r="AO268" s="12" t="s">
        <v>57</v>
      </c>
      <c r="AP268" s="12" t="s">
        <v>77</v>
      </c>
      <c r="AQ268" s="12" t="s">
        <v>78</v>
      </c>
      <c r="AR268" s="12" t="s">
        <v>79</v>
      </c>
      <c r="AS268" s="12" t="s">
        <v>1438</v>
      </c>
      <c r="AT268" s="12"/>
      <c r="AU268" s="12" t="s">
        <v>813</v>
      </c>
      <c r="AV268" s="12">
        <v>1</v>
      </c>
      <c r="AW268" s="12">
        <v>1</v>
      </c>
      <c r="AX268" s="12" t="s">
        <v>81</v>
      </c>
      <c r="AY268" s="12" t="s">
        <v>82</v>
      </c>
      <c r="AZ268" s="12" t="s">
        <v>83</v>
      </c>
      <c r="BA268" s="12" t="s">
        <v>84</v>
      </c>
      <c r="BB268" s="12"/>
      <c r="BC268" s="27" t="s">
        <v>2015</v>
      </c>
      <c r="BD268" s="27" t="s">
        <v>2016</v>
      </c>
      <c r="BE268" s="12"/>
    </row>
    <row r="269" spans="1:57" x14ac:dyDescent="0.25">
      <c r="A269" s="12" t="s">
        <v>813</v>
      </c>
      <c r="B269" s="12" t="s">
        <v>57</v>
      </c>
      <c r="C269" s="25">
        <v>17475</v>
      </c>
      <c r="D269" s="12">
        <f t="shared" si="55"/>
        <v>308</v>
      </c>
      <c r="E269" s="23">
        <f t="shared" si="56"/>
        <v>308</v>
      </c>
      <c r="F269" s="12">
        <f t="shared" si="57"/>
        <v>1947</v>
      </c>
      <c r="G269" s="12">
        <f t="shared" si="58"/>
        <v>11</v>
      </c>
      <c r="H269" s="12">
        <f t="shared" si="59"/>
        <v>4</v>
      </c>
      <c r="I269" s="24">
        <f t="shared" si="63"/>
        <v>17475</v>
      </c>
      <c r="J269" s="12" t="s">
        <v>58</v>
      </c>
      <c r="K269" s="12" t="str">
        <f t="shared" si="60"/>
        <v>Fringilla coelebs (Linnaeus, 1758)</v>
      </c>
      <c r="L269" s="12" t="str">
        <f t="shared" si="61"/>
        <v>Animalia|Chordata|Aves|Passeriformes|Fringillinae|Fringilla</v>
      </c>
      <c r="M269" s="12" t="s">
        <v>59</v>
      </c>
      <c r="N269" s="12" t="s">
        <v>60</v>
      </c>
      <c r="O269" s="12" t="s">
        <v>61</v>
      </c>
      <c r="P269" s="12" t="s">
        <v>62</v>
      </c>
      <c r="Q269" s="12" t="s">
        <v>181</v>
      </c>
      <c r="R269" s="12" t="s">
        <v>888</v>
      </c>
      <c r="S269" s="12" t="s">
        <v>182</v>
      </c>
      <c r="T269" s="12" t="s">
        <v>66</v>
      </c>
      <c r="U269" s="12" t="s">
        <v>183</v>
      </c>
      <c r="V269" s="12"/>
      <c r="W269" s="12" t="s">
        <v>68</v>
      </c>
      <c r="X269" s="12">
        <v>45.419428000000003</v>
      </c>
      <c r="Y269" s="12">
        <v>11.792116999999999</v>
      </c>
      <c r="Z269" s="14" t="s">
        <v>69</v>
      </c>
      <c r="AA269" s="12">
        <v>14488</v>
      </c>
      <c r="AB269" s="12" t="str">
        <f t="shared" si="64"/>
        <v>45.419428/11.792117</v>
      </c>
      <c r="AC269" s="13" t="s">
        <v>1473</v>
      </c>
      <c r="AD269" s="25">
        <v>46054</v>
      </c>
      <c r="AE269" s="14" t="s">
        <v>70</v>
      </c>
      <c r="AF269" s="14" t="s">
        <v>71</v>
      </c>
      <c r="AG269" s="14" t="s">
        <v>72</v>
      </c>
      <c r="AH269" s="12" t="str">
        <f t="shared" si="62"/>
        <v>Europa | Italy | Veneto | Selvazzano</v>
      </c>
      <c r="AI269" s="12" t="s">
        <v>73</v>
      </c>
      <c r="AJ269" s="12"/>
      <c r="AK269" s="12" t="s">
        <v>74</v>
      </c>
      <c r="AL269" s="12" t="str">
        <f t="shared" si="65"/>
        <v>ITA</v>
      </c>
      <c r="AM269" s="12" t="s">
        <v>150</v>
      </c>
      <c r="AN269" s="12" t="s">
        <v>200</v>
      </c>
      <c r="AO269" s="12" t="s">
        <v>57</v>
      </c>
      <c r="AP269" s="12" t="s">
        <v>77</v>
      </c>
      <c r="AQ269" s="12" t="s">
        <v>78</v>
      </c>
      <c r="AR269" s="12" t="s">
        <v>79</v>
      </c>
      <c r="AS269" s="12" t="s">
        <v>1439</v>
      </c>
      <c r="AT269" s="12" t="s">
        <v>80</v>
      </c>
      <c r="AU269" s="12" t="s">
        <v>814</v>
      </c>
      <c r="AV269" s="12">
        <v>1</v>
      </c>
      <c r="AW269" s="12">
        <v>1</v>
      </c>
      <c r="AX269" s="12" t="s">
        <v>81</v>
      </c>
      <c r="AY269" s="12" t="s">
        <v>82</v>
      </c>
      <c r="AZ269" s="12" t="s">
        <v>83</v>
      </c>
      <c r="BA269" s="12" t="s">
        <v>84</v>
      </c>
      <c r="BB269" s="12"/>
      <c r="BC269" s="27" t="s">
        <v>2017</v>
      </c>
      <c r="BD269" s="27" t="s">
        <v>2018</v>
      </c>
      <c r="BE269" s="12"/>
    </row>
    <row r="270" spans="1:57" x14ac:dyDescent="0.25">
      <c r="A270" s="12" t="s">
        <v>814</v>
      </c>
      <c r="B270" s="12" t="s">
        <v>57</v>
      </c>
      <c r="C270" s="25">
        <v>20826</v>
      </c>
      <c r="D270" s="12">
        <f t="shared" si="55"/>
        <v>6</v>
      </c>
      <c r="E270" s="23">
        <f t="shared" si="56"/>
        <v>6</v>
      </c>
      <c r="F270" s="12">
        <f t="shared" si="57"/>
        <v>1957</v>
      </c>
      <c r="G270" s="12">
        <f t="shared" si="58"/>
        <v>1</v>
      </c>
      <c r="H270" s="12">
        <f t="shared" si="59"/>
        <v>6</v>
      </c>
      <c r="I270" s="24">
        <f t="shared" si="63"/>
        <v>20826</v>
      </c>
      <c r="J270" s="12" t="s">
        <v>58</v>
      </c>
      <c r="K270" s="12" t="str">
        <f t="shared" si="60"/>
        <v>Fringilla montifringilla (Linnaeus, 1758)</v>
      </c>
      <c r="L270" s="12" t="str">
        <f t="shared" si="61"/>
        <v>Animalia|Chordata|Aves|Passeriformes|Fringillidae|Fringilla</v>
      </c>
      <c r="M270" s="12" t="s">
        <v>59</v>
      </c>
      <c r="N270" s="12" t="s">
        <v>60</v>
      </c>
      <c r="O270" s="12" t="s">
        <v>61</v>
      </c>
      <c r="P270" s="12" t="s">
        <v>62</v>
      </c>
      <c r="Q270" s="12" t="s">
        <v>816</v>
      </c>
      <c r="R270" s="12" t="s">
        <v>888</v>
      </c>
      <c r="S270" s="12" t="s">
        <v>817</v>
      </c>
      <c r="T270" s="12" t="s">
        <v>66</v>
      </c>
      <c r="U270" s="12" t="s">
        <v>818</v>
      </c>
      <c r="V270" s="12" t="s">
        <v>1165</v>
      </c>
      <c r="W270" s="12" t="s">
        <v>68</v>
      </c>
      <c r="X270" s="12">
        <v>44.33014</v>
      </c>
      <c r="Y270" s="12">
        <v>7.4859239999999998</v>
      </c>
      <c r="Z270" s="14" t="s">
        <v>69</v>
      </c>
      <c r="AA270" s="12">
        <v>1929</v>
      </c>
      <c r="AB270" s="12" t="str">
        <f t="shared" si="64"/>
        <v>44.33014/7.485924</v>
      </c>
      <c r="AC270" s="13" t="s">
        <v>1473</v>
      </c>
      <c r="AD270" s="25">
        <v>46054</v>
      </c>
      <c r="AE270" s="14" t="s">
        <v>70</v>
      </c>
      <c r="AF270" s="14" t="s">
        <v>71</v>
      </c>
      <c r="AG270" s="14" t="s">
        <v>72</v>
      </c>
      <c r="AH270" s="12" t="str">
        <f t="shared" si="62"/>
        <v>Europa | Italy | Piedmont | Borgo San Dalmazzo</v>
      </c>
      <c r="AI270" s="12" t="s">
        <v>73</v>
      </c>
      <c r="AJ270" s="12"/>
      <c r="AK270" s="12" t="s">
        <v>74</v>
      </c>
      <c r="AL270" s="12" t="str">
        <f t="shared" si="65"/>
        <v>ITA</v>
      </c>
      <c r="AM270" s="12" t="s">
        <v>90</v>
      </c>
      <c r="AN270" s="12" t="s">
        <v>160</v>
      </c>
      <c r="AO270" s="12" t="s">
        <v>57</v>
      </c>
      <c r="AP270" s="12" t="s">
        <v>77</v>
      </c>
      <c r="AQ270" s="12" t="s">
        <v>78</v>
      </c>
      <c r="AR270" s="12" t="s">
        <v>79</v>
      </c>
      <c r="AS270" s="12" t="s">
        <v>1440</v>
      </c>
      <c r="AT270" s="12" t="s">
        <v>80</v>
      </c>
      <c r="AU270" s="12" t="s">
        <v>815</v>
      </c>
      <c r="AV270" s="12">
        <v>1</v>
      </c>
      <c r="AW270" s="12">
        <v>1</v>
      </c>
      <c r="AX270" s="12" t="s">
        <v>81</v>
      </c>
      <c r="AY270" s="12" t="s">
        <v>82</v>
      </c>
      <c r="AZ270" s="12" t="s">
        <v>83</v>
      </c>
      <c r="BA270" s="12" t="s">
        <v>84</v>
      </c>
      <c r="BB270" s="12"/>
      <c r="BC270" s="27" t="s">
        <v>2019</v>
      </c>
      <c r="BD270" s="27" t="s">
        <v>2020</v>
      </c>
      <c r="BE270" s="12"/>
    </row>
    <row r="271" spans="1:57" x14ac:dyDescent="0.25">
      <c r="A271" s="12" t="s">
        <v>815</v>
      </c>
      <c r="B271" s="12" t="s">
        <v>57</v>
      </c>
      <c r="C271" s="25">
        <v>20880</v>
      </c>
      <c r="D271" s="12">
        <f t="shared" si="55"/>
        <v>60</v>
      </c>
      <c r="E271" s="23">
        <f t="shared" si="56"/>
        <v>60</v>
      </c>
      <c r="F271" s="12">
        <f t="shared" si="57"/>
        <v>1957</v>
      </c>
      <c r="G271" s="12">
        <f t="shared" si="58"/>
        <v>3</v>
      </c>
      <c r="H271" s="12">
        <f t="shared" si="59"/>
        <v>1</v>
      </c>
      <c r="I271" s="24">
        <f t="shared" si="63"/>
        <v>20880</v>
      </c>
      <c r="J271" s="12" t="s">
        <v>58</v>
      </c>
      <c r="K271" s="12" t="str">
        <f t="shared" si="60"/>
        <v>Carduelis carduelis (Linnaeus, 1758)</v>
      </c>
      <c r="L271" s="12" t="str">
        <f t="shared" si="61"/>
        <v>Animalia|Chordata|Aves|Passeriformes|Fringillidae|Carduelis</v>
      </c>
      <c r="M271" s="12" t="s">
        <v>59</v>
      </c>
      <c r="N271" s="12" t="s">
        <v>60</v>
      </c>
      <c r="O271" s="12" t="s">
        <v>61</v>
      </c>
      <c r="P271" s="12" t="s">
        <v>62</v>
      </c>
      <c r="Q271" s="12" t="s">
        <v>816</v>
      </c>
      <c r="R271" s="12" t="s">
        <v>984</v>
      </c>
      <c r="S271" s="12" t="s">
        <v>820</v>
      </c>
      <c r="T271" s="12" t="s">
        <v>66</v>
      </c>
      <c r="U271" s="12" t="s">
        <v>821</v>
      </c>
      <c r="V271" s="12" t="s">
        <v>1165</v>
      </c>
      <c r="W271" s="12" t="s">
        <v>68</v>
      </c>
      <c r="X271" s="12">
        <v>44.389569999999999</v>
      </c>
      <c r="Y271" s="12">
        <v>7.513522</v>
      </c>
      <c r="Z271" s="14" t="s">
        <v>69</v>
      </c>
      <c r="AA271" s="12">
        <v>2568</v>
      </c>
      <c r="AB271" s="12" t="str">
        <f t="shared" si="64"/>
        <v>44.38957/7.513522</v>
      </c>
      <c r="AC271" s="13" t="s">
        <v>1473</v>
      </c>
      <c r="AD271" s="25">
        <v>46054</v>
      </c>
      <c r="AE271" s="14" t="s">
        <v>70</v>
      </c>
      <c r="AF271" s="14" t="s">
        <v>71</v>
      </c>
      <c r="AG271" s="14" t="s">
        <v>72</v>
      </c>
      <c r="AH271" s="12" t="str">
        <f t="shared" si="62"/>
        <v>Europa | Italy | Piedmont | Confreria</v>
      </c>
      <c r="AI271" s="12" t="s">
        <v>73</v>
      </c>
      <c r="AJ271" s="12"/>
      <c r="AK271" s="12" t="s">
        <v>74</v>
      </c>
      <c r="AL271" s="12" t="str">
        <f t="shared" si="65"/>
        <v>ITA</v>
      </c>
      <c r="AM271" s="12" t="s">
        <v>90</v>
      </c>
      <c r="AN271" s="12" t="s">
        <v>589</v>
      </c>
      <c r="AO271" s="12" t="s">
        <v>57</v>
      </c>
      <c r="AP271" s="12" t="s">
        <v>77</v>
      </c>
      <c r="AQ271" s="12" t="s">
        <v>78</v>
      </c>
      <c r="AR271" s="12" t="s">
        <v>79</v>
      </c>
      <c r="AS271" s="12" t="s">
        <v>1441</v>
      </c>
      <c r="AT271" s="12" t="s">
        <v>80</v>
      </c>
      <c r="AU271" s="12" t="s">
        <v>819</v>
      </c>
      <c r="AV271" s="12">
        <v>1</v>
      </c>
      <c r="AW271" s="12">
        <v>1</v>
      </c>
      <c r="AX271" s="12" t="s">
        <v>81</v>
      </c>
      <c r="AY271" s="12" t="s">
        <v>82</v>
      </c>
      <c r="AZ271" s="12" t="s">
        <v>83</v>
      </c>
      <c r="BA271" s="12" t="s">
        <v>84</v>
      </c>
      <c r="BB271" s="12"/>
      <c r="BC271" s="27" t="s">
        <v>2021</v>
      </c>
      <c r="BD271" s="27" t="s">
        <v>2022</v>
      </c>
      <c r="BE271" s="12"/>
    </row>
    <row r="272" spans="1:57" x14ac:dyDescent="0.25">
      <c r="A272" s="12" t="s">
        <v>819</v>
      </c>
      <c r="B272" s="12" t="s">
        <v>57</v>
      </c>
      <c r="C272" s="25">
        <v>21468</v>
      </c>
      <c r="D272" s="12">
        <f t="shared" si="55"/>
        <v>283</v>
      </c>
      <c r="E272" s="23">
        <f t="shared" si="56"/>
        <v>283</v>
      </c>
      <c r="F272" s="12">
        <f t="shared" si="57"/>
        <v>1958</v>
      </c>
      <c r="G272" s="12">
        <f t="shared" si="58"/>
        <v>10</v>
      </c>
      <c r="H272" s="12">
        <f t="shared" si="59"/>
        <v>10</v>
      </c>
      <c r="I272" s="24">
        <f t="shared" si="63"/>
        <v>21468</v>
      </c>
      <c r="J272" s="12" t="s">
        <v>58</v>
      </c>
      <c r="K272" s="12" t="str">
        <f t="shared" si="60"/>
        <v>Linaria cannabina (Linnaeus, 1758)</v>
      </c>
      <c r="L272" s="12" t="str">
        <f t="shared" si="61"/>
        <v>Animalia|Chordata|Aves|Passeriformes|Fringillidae|Linaria</v>
      </c>
      <c r="M272" s="12" t="s">
        <v>59</v>
      </c>
      <c r="N272" s="12" t="s">
        <v>60</v>
      </c>
      <c r="O272" s="12" t="s">
        <v>61</v>
      </c>
      <c r="P272" s="12" t="s">
        <v>62</v>
      </c>
      <c r="Q272" s="12" t="s">
        <v>816</v>
      </c>
      <c r="R272" s="12" t="s">
        <v>985</v>
      </c>
      <c r="S272" s="12" t="s">
        <v>823</v>
      </c>
      <c r="T272" s="12" t="s">
        <v>66</v>
      </c>
      <c r="U272" s="12" t="s">
        <v>824</v>
      </c>
      <c r="V272" s="12" t="s">
        <v>1168</v>
      </c>
      <c r="W272" s="12" t="s">
        <v>68</v>
      </c>
      <c r="X272" s="12">
        <v>45.416666999999997</v>
      </c>
      <c r="Y272" s="12">
        <v>11.883333</v>
      </c>
      <c r="Z272" s="14" t="s">
        <v>69</v>
      </c>
      <c r="AA272" s="12">
        <v>7350</v>
      </c>
      <c r="AB272" s="12" t="str">
        <f t="shared" si="64"/>
        <v>45.416667/11.883333</v>
      </c>
      <c r="AC272" s="13" t="s">
        <v>1473</v>
      </c>
      <c r="AD272" s="25">
        <v>46054</v>
      </c>
      <c r="AE272" s="14" t="s">
        <v>70</v>
      </c>
      <c r="AF272" s="14" t="s">
        <v>71</v>
      </c>
      <c r="AG272" s="14" t="s">
        <v>72</v>
      </c>
      <c r="AH272" s="12" t="str">
        <f t="shared" si="62"/>
        <v>Europa | Italy | Veneto | Padua</v>
      </c>
      <c r="AI272" s="12" t="s">
        <v>73</v>
      </c>
      <c r="AJ272" s="12"/>
      <c r="AK272" s="12" t="s">
        <v>74</v>
      </c>
      <c r="AL272" s="12" t="str">
        <f t="shared" si="65"/>
        <v>ITA</v>
      </c>
      <c r="AM272" s="12" t="s">
        <v>150</v>
      </c>
      <c r="AN272" s="12" t="s">
        <v>151</v>
      </c>
      <c r="AO272" s="12" t="s">
        <v>57</v>
      </c>
      <c r="AP272" s="12" t="s">
        <v>77</v>
      </c>
      <c r="AQ272" s="12" t="s">
        <v>78</v>
      </c>
      <c r="AR272" s="12" t="s">
        <v>79</v>
      </c>
      <c r="AS272" s="12" t="s">
        <v>1442</v>
      </c>
      <c r="AT272" s="12" t="s">
        <v>80</v>
      </c>
      <c r="AU272" s="12" t="s">
        <v>822</v>
      </c>
      <c r="AV272" s="12">
        <v>1</v>
      </c>
      <c r="AW272" s="12">
        <v>1</v>
      </c>
      <c r="AX272" s="12" t="s">
        <v>81</v>
      </c>
      <c r="AY272" s="12" t="s">
        <v>82</v>
      </c>
      <c r="AZ272" s="12" t="s">
        <v>83</v>
      </c>
      <c r="BA272" s="12" t="s">
        <v>84</v>
      </c>
      <c r="BB272" s="12"/>
      <c r="BC272" s="27" t="s">
        <v>2023</v>
      </c>
      <c r="BD272" s="27" t="s">
        <v>2024</v>
      </c>
      <c r="BE272" s="12"/>
    </row>
    <row r="273" spans="1:57" x14ac:dyDescent="0.25">
      <c r="A273" s="12" t="s">
        <v>822</v>
      </c>
      <c r="B273" s="12" t="s">
        <v>57</v>
      </c>
      <c r="C273" s="25">
        <v>21513</v>
      </c>
      <c r="D273" s="12">
        <f t="shared" si="55"/>
        <v>328</v>
      </c>
      <c r="E273" s="23">
        <f t="shared" si="56"/>
        <v>328</v>
      </c>
      <c r="F273" s="12">
        <f t="shared" si="57"/>
        <v>1958</v>
      </c>
      <c r="G273" s="12">
        <f t="shared" si="58"/>
        <v>11</v>
      </c>
      <c r="H273" s="12">
        <f t="shared" si="59"/>
        <v>24</v>
      </c>
      <c r="I273" s="24">
        <f t="shared" si="63"/>
        <v>21513</v>
      </c>
      <c r="J273" s="12" t="s">
        <v>124</v>
      </c>
      <c r="K273" s="12" t="str">
        <f t="shared" si="60"/>
        <v>Serinus serinus (Linnaeus, 1766)</v>
      </c>
      <c r="L273" s="12" t="str">
        <f t="shared" si="61"/>
        <v>Animalia|Chordata|Aves|Passeriformes|Fringillidae|Serinus</v>
      </c>
      <c r="M273" s="12" t="s">
        <v>59</v>
      </c>
      <c r="N273" s="12" t="s">
        <v>60</v>
      </c>
      <c r="O273" s="12" t="s">
        <v>61</v>
      </c>
      <c r="P273" s="12" t="s">
        <v>62</v>
      </c>
      <c r="Q273" s="12" t="s">
        <v>816</v>
      </c>
      <c r="R273" s="12" t="s">
        <v>986</v>
      </c>
      <c r="S273" s="12" t="s">
        <v>826</v>
      </c>
      <c r="T273" s="12" t="s">
        <v>66</v>
      </c>
      <c r="U273" s="12" t="s">
        <v>827</v>
      </c>
      <c r="V273" s="12" t="s">
        <v>1168</v>
      </c>
      <c r="W273" s="12" t="s">
        <v>68</v>
      </c>
      <c r="X273" s="12">
        <v>45.416666999999997</v>
      </c>
      <c r="Y273" s="12">
        <v>11.95</v>
      </c>
      <c r="Z273" s="14" t="s">
        <v>69</v>
      </c>
      <c r="AA273" s="12">
        <v>1751</v>
      </c>
      <c r="AB273" s="12" t="str">
        <f t="shared" si="64"/>
        <v>45.416667/11.95</v>
      </c>
      <c r="AC273" s="13" t="s">
        <v>1473</v>
      </c>
      <c r="AD273" s="25">
        <v>46054</v>
      </c>
      <c r="AE273" s="14" t="s">
        <v>70</v>
      </c>
      <c r="AF273" s="14" t="s">
        <v>71</v>
      </c>
      <c r="AG273" s="14" t="s">
        <v>72</v>
      </c>
      <c r="AH273" s="12" t="str">
        <f t="shared" si="62"/>
        <v>Europa | Italy | Veneto | Noventa Padovana</v>
      </c>
      <c r="AI273" s="12" t="s">
        <v>73</v>
      </c>
      <c r="AJ273" s="12"/>
      <c r="AK273" s="12" t="s">
        <v>74</v>
      </c>
      <c r="AL273" s="12" t="str">
        <f t="shared" si="65"/>
        <v>ITA</v>
      </c>
      <c r="AM273" s="12" t="s">
        <v>150</v>
      </c>
      <c r="AN273" s="12" t="s">
        <v>828</v>
      </c>
      <c r="AO273" s="12" t="s">
        <v>57</v>
      </c>
      <c r="AP273" s="12" t="s">
        <v>77</v>
      </c>
      <c r="AQ273" s="12" t="s">
        <v>78</v>
      </c>
      <c r="AR273" s="12" t="s">
        <v>79</v>
      </c>
      <c r="AS273" s="12" t="s">
        <v>1443</v>
      </c>
      <c r="AT273" s="12" t="s">
        <v>80</v>
      </c>
      <c r="AU273" s="12" t="s">
        <v>825</v>
      </c>
      <c r="AV273" s="12">
        <v>1</v>
      </c>
      <c r="AW273" s="12">
        <v>1</v>
      </c>
      <c r="AX273" s="12" t="s">
        <v>81</v>
      </c>
      <c r="AY273" s="12" t="s">
        <v>82</v>
      </c>
      <c r="AZ273" s="12" t="s">
        <v>83</v>
      </c>
      <c r="BA273" s="12" t="s">
        <v>84</v>
      </c>
      <c r="BB273" s="12"/>
      <c r="BC273" s="27" t="s">
        <v>2025</v>
      </c>
      <c r="BD273" s="27" t="s">
        <v>2026</v>
      </c>
      <c r="BE273" s="12"/>
    </row>
    <row r="274" spans="1:57" x14ac:dyDescent="0.25">
      <c r="A274" s="12" t="s">
        <v>825</v>
      </c>
      <c r="B274" s="12" t="s">
        <v>57</v>
      </c>
      <c r="C274" s="25">
        <v>23784</v>
      </c>
      <c r="D274" s="12">
        <f t="shared" si="55"/>
        <v>42</v>
      </c>
      <c r="E274" s="23">
        <f t="shared" si="56"/>
        <v>42</v>
      </c>
      <c r="F274" s="12">
        <f t="shared" si="57"/>
        <v>1965</v>
      </c>
      <c r="G274" s="12">
        <f t="shared" si="58"/>
        <v>2</v>
      </c>
      <c r="H274" s="12">
        <f t="shared" si="59"/>
        <v>11</v>
      </c>
      <c r="I274" s="24">
        <f t="shared" si="63"/>
        <v>23784</v>
      </c>
      <c r="J274" s="12" t="s">
        <v>58</v>
      </c>
      <c r="K274" s="12" t="str">
        <f t="shared" si="60"/>
        <v>Chloris chloris (Linnaeus, 1758)</v>
      </c>
      <c r="L274" s="12" t="str">
        <f t="shared" si="61"/>
        <v>Animalia|Chordata|Aves|Passeriformes|Fringillidae|Chloris</v>
      </c>
      <c r="M274" s="12" t="s">
        <v>59</v>
      </c>
      <c r="N274" s="12" t="s">
        <v>60</v>
      </c>
      <c r="O274" s="12" t="s">
        <v>61</v>
      </c>
      <c r="P274" s="12" t="s">
        <v>62</v>
      </c>
      <c r="Q274" s="12" t="s">
        <v>816</v>
      </c>
      <c r="R274" s="12" t="s">
        <v>987</v>
      </c>
      <c r="S274" s="12" t="s">
        <v>830</v>
      </c>
      <c r="T274" s="12" t="s">
        <v>66</v>
      </c>
      <c r="U274" s="12" t="s">
        <v>831</v>
      </c>
      <c r="V274" s="12" t="s">
        <v>1165</v>
      </c>
      <c r="W274" s="12" t="s">
        <v>68</v>
      </c>
      <c r="X274" s="12">
        <v>41.960157000000002</v>
      </c>
      <c r="Y274" s="12">
        <v>12.804119999999999</v>
      </c>
      <c r="Z274" s="14" t="s">
        <v>69</v>
      </c>
      <c r="AA274" s="12">
        <v>2298</v>
      </c>
      <c r="AB274" s="12" t="str">
        <f t="shared" si="64"/>
        <v>41.960157/12.80412</v>
      </c>
      <c r="AC274" s="13" t="s">
        <v>1473</v>
      </c>
      <c r="AD274" s="25">
        <v>46054</v>
      </c>
      <c r="AE274" s="14" t="s">
        <v>70</v>
      </c>
      <c r="AF274" s="14" t="s">
        <v>71</v>
      </c>
      <c r="AG274" s="14" t="s">
        <v>72</v>
      </c>
      <c r="AH274" s="12" t="str">
        <f t="shared" si="62"/>
        <v>Europa | Italy | Lazio | Tivoli</v>
      </c>
      <c r="AI274" s="12" t="s">
        <v>73</v>
      </c>
      <c r="AJ274" s="12"/>
      <c r="AK274" s="12" t="s">
        <v>74</v>
      </c>
      <c r="AL274" s="12" t="str">
        <f t="shared" si="65"/>
        <v>ITA</v>
      </c>
      <c r="AM274" s="12" t="s">
        <v>75</v>
      </c>
      <c r="AN274" s="12" t="s">
        <v>366</v>
      </c>
      <c r="AO274" s="12" t="s">
        <v>57</v>
      </c>
      <c r="AP274" s="12" t="s">
        <v>77</v>
      </c>
      <c r="AQ274" s="12" t="s">
        <v>78</v>
      </c>
      <c r="AR274" s="12" t="s">
        <v>79</v>
      </c>
      <c r="AS274" s="12" t="s">
        <v>1444</v>
      </c>
      <c r="AT274" s="12" t="s">
        <v>92</v>
      </c>
      <c r="AU274" s="12" t="s">
        <v>829</v>
      </c>
      <c r="AV274" s="12">
        <v>2</v>
      </c>
      <c r="AW274" s="12">
        <v>2</v>
      </c>
      <c r="AX274" s="12" t="s">
        <v>81</v>
      </c>
      <c r="AY274" s="12" t="s">
        <v>82</v>
      </c>
      <c r="AZ274" s="12" t="s">
        <v>83</v>
      </c>
      <c r="BA274" s="12" t="s">
        <v>84</v>
      </c>
      <c r="BB274" s="12"/>
      <c r="BC274" s="27" t="s">
        <v>2027</v>
      </c>
      <c r="BD274" s="27" t="s">
        <v>2028</v>
      </c>
      <c r="BE274" s="12"/>
    </row>
    <row r="275" spans="1:57" x14ac:dyDescent="0.25">
      <c r="A275" s="12" t="s">
        <v>829</v>
      </c>
      <c r="B275" s="12" t="s">
        <v>57</v>
      </c>
      <c r="C275" s="25">
        <v>18191</v>
      </c>
      <c r="D275" s="12">
        <f t="shared" si="55"/>
        <v>293</v>
      </c>
      <c r="E275" s="23">
        <f t="shared" si="56"/>
        <v>293</v>
      </c>
      <c r="F275" s="12">
        <f t="shared" si="57"/>
        <v>1949</v>
      </c>
      <c r="G275" s="12">
        <f t="shared" si="58"/>
        <v>10</v>
      </c>
      <c r="H275" s="12">
        <f t="shared" si="59"/>
        <v>20</v>
      </c>
      <c r="I275" s="24">
        <f t="shared" si="63"/>
        <v>18191</v>
      </c>
      <c r="J275" s="12" t="s">
        <v>58</v>
      </c>
      <c r="K275" s="12" t="str">
        <f t="shared" si="60"/>
        <v>Chloris chloris (Linnaeus, 1758)</v>
      </c>
      <c r="L275" s="12" t="str">
        <f t="shared" si="61"/>
        <v>Animalia|Chordata|Aves|Passeriformes|Fringillidae|Chloris</v>
      </c>
      <c r="M275" s="12" t="s">
        <v>59</v>
      </c>
      <c r="N275" s="12" t="s">
        <v>60</v>
      </c>
      <c r="O275" s="12" t="s">
        <v>61</v>
      </c>
      <c r="P275" s="12" t="s">
        <v>62</v>
      </c>
      <c r="Q275" s="12" t="s">
        <v>816</v>
      </c>
      <c r="R275" s="12" t="s">
        <v>987</v>
      </c>
      <c r="S275" s="12" t="s">
        <v>830</v>
      </c>
      <c r="T275" s="12" t="s">
        <v>66</v>
      </c>
      <c r="U275" s="12" t="s">
        <v>831</v>
      </c>
      <c r="V275" s="12" t="s">
        <v>1168</v>
      </c>
      <c r="W275" s="12" t="s">
        <v>68</v>
      </c>
      <c r="X275" s="12">
        <v>45.416666999999997</v>
      </c>
      <c r="Y275" s="12">
        <v>11.883333</v>
      </c>
      <c r="Z275" s="14" t="s">
        <v>69</v>
      </c>
      <c r="AA275" s="12">
        <v>7350</v>
      </c>
      <c r="AB275" s="12" t="str">
        <f t="shared" si="64"/>
        <v>45.416667/11.883333</v>
      </c>
      <c r="AC275" s="13" t="s">
        <v>1473</v>
      </c>
      <c r="AD275" s="25">
        <v>46054</v>
      </c>
      <c r="AE275" s="14" t="s">
        <v>70</v>
      </c>
      <c r="AF275" s="14" t="s">
        <v>71</v>
      </c>
      <c r="AG275" s="14" t="s">
        <v>72</v>
      </c>
      <c r="AH275" s="12" t="str">
        <f t="shared" si="62"/>
        <v>Europa | Italy | Veneto | Padua</v>
      </c>
      <c r="AI275" s="12" t="s">
        <v>73</v>
      </c>
      <c r="AJ275" s="12"/>
      <c r="AK275" s="12" t="s">
        <v>74</v>
      </c>
      <c r="AL275" s="12" t="str">
        <f t="shared" si="65"/>
        <v>ITA</v>
      </c>
      <c r="AM275" s="12" t="s">
        <v>150</v>
      </c>
      <c r="AN275" s="12" t="s">
        <v>151</v>
      </c>
      <c r="AO275" s="12" t="s">
        <v>57</v>
      </c>
      <c r="AP275" s="12" t="s">
        <v>77</v>
      </c>
      <c r="AQ275" s="12" t="s">
        <v>78</v>
      </c>
      <c r="AR275" s="12" t="s">
        <v>79</v>
      </c>
      <c r="AS275" s="12" t="s">
        <v>1445</v>
      </c>
      <c r="AT275" s="12" t="s">
        <v>80</v>
      </c>
      <c r="AU275" s="12" t="s">
        <v>832</v>
      </c>
      <c r="AV275" s="12">
        <v>1</v>
      </c>
      <c r="AW275" s="12">
        <v>1</v>
      </c>
      <c r="AX275" s="12" t="s">
        <v>81</v>
      </c>
      <c r="AY275" s="12" t="s">
        <v>82</v>
      </c>
      <c r="AZ275" s="12" t="s">
        <v>83</v>
      </c>
      <c r="BA275" s="12" t="s">
        <v>84</v>
      </c>
      <c r="BB275" s="12"/>
      <c r="BC275" s="27" t="s">
        <v>2029</v>
      </c>
      <c r="BD275" s="27" t="s">
        <v>2030</v>
      </c>
      <c r="BE275" s="12"/>
    </row>
    <row r="276" spans="1:57" x14ac:dyDescent="0.25">
      <c r="A276" s="12" t="s">
        <v>832</v>
      </c>
      <c r="B276" s="12" t="s">
        <v>57</v>
      </c>
      <c r="C276" s="12">
        <v>1910</v>
      </c>
      <c r="D276" s="12"/>
      <c r="E276" s="23"/>
      <c r="F276" s="12">
        <f t="shared" si="57"/>
        <v>1910</v>
      </c>
      <c r="G276" s="12"/>
      <c r="H276" s="12"/>
      <c r="I276" s="24">
        <f t="shared" si="63"/>
        <v>1910</v>
      </c>
      <c r="J276" s="12" t="s">
        <v>58</v>
      </c>
      <c r="K276" s="12" t="str">
        <f t="shared" si="60"/>
        <v>Loxia curvirostra (Linnaeus, 1758)</v>
      </c>
      <c r="L276" s="12" t="str">
        <f t="shared" si="61"/>
        <v>Animalia|Chordata|Aves|Passeriformes|Fringillidae|Loxia</v>
      </c>
      <c r="M276" s="12" t="s">
        <v>59</v>
      </c>
      <c r="N276" s="12" t="s">
        <v>60</v>
      </c>
      <c r="O276" s="12" t="s">
        <v>61</v>
      </c>
      <c r="P276" s="12" t="s">
        <v>62</v>
      </c>
      <c r="Q276" s="12" t="s">
        <v>816</v>
      </c>
      <c r="R276" s="12" t="s">
        <v>988</v>
      </c>
      <c r="S276" s="12" t="s">
        <v>834</v>
      </c>
      <c r="T276" s="12" t="s">
        <v>66</v>
      </c>
      <c r="U276" s="12" t="s">
        <v>835</v>
      </c>
      <c r="V276" s="12"/>
      <c r="W276" s="12" t="s">
        <v>68</v>
      </c>
      <c r="X276" s="12">
        <v>45</v>
      </c>
      <c r="Y276" s="12">
        <v>10</v>
      </c>
      <c r="Z276" s="14" t="s">
        <v>69</v>
      </c>
      <c r="AA276" s="12">
        <v>100000</v>
      </c>
      <c r="AB276" s="12" t="str">
        <f t="shared" si="64"/>
        <v>45/10</v>
      </c>
      <c r="AC276" s="13" t="s">
        <v>1473</v>
      </c>
      <c r="AD276" s="25">
        <v>46054</v>
      </c>
      <c r="AE276" s="14" t="s">
        <v>70</v>
      </c>
      <c r="AF276" s="14" t="s">
        <v>71</v>
      </c>
      <c r="AG276" s="14" t="s">
        <v>72</v>
      </c>
      <c r="AH276" s="12" t="str">
        <f t="shared" si="62"/>
        <v>Italy | Italia settentrionale</v>
      </c>
      <c r="AI276" s="12"/>
      <c r="AJ276" s="12"/>
      <c r="AK276" s="12" t="s">
        <v>74</v>
      </c>
      <c r="AL276" s="12" t="str">
        <f t="shared" si="65"/>
        <v>ITA</v>
      </c>
      <c r="AM276" s="12"/>
      <c r="AN276" s="12" t="s">
        <v>1478</v>
      </c>
      <c r="AO276" s="12" t="s">
        <v>57</v>
      </c>
      <c r="AP276" s="12" t="s">
        <v>77</v>
      </c>
      <c r="AQ276" s="12" t="s">
        <v>78</v>
      </c>
      <c r="AR276" s="12" t="s">
        <v>79</v>
      </c>
      <c r="AS276" s="12" t="s">
        <v>1446</v>
      </c>
      <c r="AT276" s="12"/>
      <c r="AU276" s="12" t="s">
        <v>833</v>
      </c>
      <c r="AV276" s="12">
        <v>1</v>
      </c>
      <c r="AW276" s="12">
        <v>1</v>
      </c>
      <c r="AX276" s="12" t="s">
        <v>81</v>
      </c>
      <c r="AY276" s="12" t="s">
        <v>82</v>
      </c>
      <c r="AZ276" s="12" t="s">
        <v>83</v>
      </c>
      <c r="BA276" s="12" t="s">
        <v>84</v>
      </c>
      <c r="BB276" s="12"/>
      <c r="BC276" s="27" t="s">
        <v>2031</v>
      </c>
      <c r="BD276" s="27" t="s">
        <v>2032</v>
      </c>
      <c r="BE276" s="12"/>
    </row>
    <row r="277" spans="1:57" x14ac:dyDescent="0.25">
      <c r="A277" s="12" t="s">
        <v>833</v>
      </c>
      <c r="B277" s="12" t="s">
        <v>57</v>
      </c>
      <c r="C277" s="25">
        <v>18665</v>
      </c>
      <c r="D277" s="12">
        <f t="shared" si="55"/>
        <v>37</v>
      </c>
      <c r="E277" s="23">
        <f t="shared" si="56"/>
        <v>37</v>
      </c>
      <c r="F277" s="12">
        <f t="shared" si="57"/>
        <v>1951</v>
      </c>
      <c r="G277" s="12">
        <f t="shared" si="58"/>
        <v>2</v>
      </c>
      <c r="H277" s="12">
        <f t="shared" si="59"/>
        <v>6</v>
      </c>
      <c r="I277" s="24">
        <f t="shared" si="63"/>
        <v>18665</v>
      </c>
      <c r="J277" s="12" t="s">
        <v>58</v>
      </c>
      <c r="K277" s="12" t="str">
        <f t="shared" si="60"/>
        <v>Pyrrhula pyrrhula (Linnaeus, 1758)</v>
      </c>
      <c r="L277" s="12" t="str">
        <f t="shared" si="61"/>
        <v>Animalia|Chordata|Aves|Passeriformes|Fringillidae|Pyrrhula</v>
      </c>
      <c r="M277" s="12" t="s">
        <v>59</v>
      </c>
      <c r="N277" s="12" t="s">
        <v>60</v>
      </c>
      <c r="O277" s="12" t="s">
        <v>61</v>
      </c>
      <c r="P277" s="12" t="s">
        <v>62</v>
      </c>
      <c r="Q277" s="12" t="s">
        <v>816</v>
      </c>
      <c r="R277" s="12" t="s">
        <v>989</v>
      </c>
      <c r="S277" s="12" t="s">
        <v>837</v>
      </c>
      <c r="T277" s="12" t="s">
        <v>66</v>
      </c>
      <c r="U277" s="12" t="s">
        <v>838</v>
      </c>
      <c r="V277" s="12" t="s">
        <v>1165</v>
      </c>
      <c r="W277" s="12" t="s">
        <v>68</v>
      </c>
      <c r="X277" s="12">
        <v>44.33014</v>
      </c>
      <c r="Y277" s="12">
        <v>7.4859239999999998</v>
      </c>
      <c r="Z277" s="14" t="s">
        <v>69</v>
      </c>
      <c r="AA277" s="12">
        <v>1929</v>
      </c>
      <c r="AB277" s="12" t="str">
        <f t="shared" si="64"/>
        <v>44.33014/7.485924</v>
      </c>
      <c r="AC277" s="13" t="s">
        <v>1473</v>
      </c>
      <c r="AD277" s="25">
        <v>46054</v>
      </c>
      <c r="AE277" s="14" t="s">
        <v>70</v>
      </c>
      <c r="AF277" s="14" t="s">
        <v>71</v>
      </c>
      <c r="AG277" s="14" t="s">
        <v>72</v>
      </c>
      <c r="AH277" s="12" t="str">
        <f t="shared" si="62"/>
        <v>Europa | Italy | Piedmont | Borgo San Dalmazzo</v>
      </c>
      <c r="AI277" s="12" t="s">
        <v>73</v>
      </c>
      <c r="AJ277" s="12"/>
      <c r="AK277" s="12" t="s">
        <v>74</v>
      </c>
      <c r="AL277" s="12" t="str">
        <f t="shared" si="65"/>
        <v>ITA</v>
      </c>
      <c r="AM277" s="12" t="s">
        <v>90</v>
      </c>
      <c r="AN277" s="12" t="s">
        <v>160</v>
      </c>
      <c r="AO277" s="12" t="s">
        <v>57</v>
      </c>
      <c r="AP277" s="12" t="s">
        <v>77</v>
      </c>
      <c r="AQ277" s="12" t="s">
        <v>78</v>
      </c>
      <c r="AR277" s="12" t="s">
        <v>79</v>
      </c>
      <c r="AS277" s="12" t="s">
        <v>1447</v>
      </c>
      <c r="AT277" s="12" t="s">
        <v>92</v>
      </c>
      <c r="AU277" s="12" t="s">
        <v>836</v>
      </c>
      <c r="AV277" s="12">
        <v>1</v>
      </c>
      <c r="AW277" s="12">
        <v>1</v>
      </c>
      <c r="AX277" s="12" t="s">
        <v>81</v>
      </c>
      <c r="AY277" s="12" t="s">
        <v>82</v>
      </c>
      <c r="AZ277" s="12" t="s">
        <v>83</v>
      </c>
      <c r="BA277" s="12" t="s">
        <v>84</v>
      </c>
      <c r="BB277" s="12"/>
      <c r="BC277" s="27" t="s">
        <v>2033</v>
      </c>
      <c r="BD277" s="27" t="s">
        <v>2034</v>
      </c>
      <c r="BE277" s="12"/>
    </row>
    <row r="278" spans="1:57" x14ac:dyDescent="0.25">
      <c r="A278" s="12" t="s">
        <v>836</v>
      </c>
      <c r="B278" s="12" t="s">
        <v>57</v>
      </c>
      <c r="C278" s="25">
        <v>20490</v>
      </c>
      <c r="D278" s="12">
        <f t="shared" si="55"/>
        <v>36</v>
      </c>
      <c r="E278" s="23">
        <f t="shared" si="56"/>
        <v>36</v>
      </c>
      <c r="F278" s="12">
        <f t="shared" si="57"/>
        <v>1956</v>
      </c>
      <c r="G278" s="12">
        <f t="shared" si="58"/>
        <v>2</v>
      </c>
      <c r="H278" s="12">
        <f t="shared" si="59"/>
        <v>5</v>
      </c>
      <c r="I278" s="24">
        <f t="shared" si="63"/>
        <v>20490</v>
      </c>
      <c r="J278" s="12" t="s">
        <v>58</v>
      </c>
      <c r="K278" s="12" t="str">
        <f t="shared" si="60"/>
        <v>Pyrrhula pyrrhula (Linnaeus, 1758)</v>
      </c>
      <c r="L278" s="12" t="str">
        <f t="shared" si="61"/>
        <v>Animalia|Chordata|Aves|Passeriformes|Fringillidae|Pyrrhula</v>
      </c>
      <c r="M278" s="12" t="s">
        <v>59</v>
      </c>
      <c r="N278" s="12" t="s">
        <v>60</v>
      </c>
      <c r="O278" s="12" t="s">
        <v>61</v>
      </c>
      <c r="P278" s="12" t="s">
        <v>62</v>
      </c>
      <c r="Q278" s="12" t="s">
        <v>816</v>
      </c>
      <c r="R278" s="12" t="s">
        <v>989</v>
      </c>
      <c r="S278" s="12" t="s">
        <v>837</v>
      </c>
      <c r="T278" s="12" t="s">
        <v>66</v>
      </c>
      <c r="U278" s="12" t="s">
        <v>838</v>
      </c>
      <c r="V278" s="12" t="s">
        <v>1165</v>
      </c>
      <c r="W278" s="12" t="s">
        <v>68</v>
      </c>
      <c r="X278" s="12">
        <v>44.389569999999999</v>
      </c>
      <c r="Y278" s="12">
        <v>7.513522</v>
      </c>
      <c r="Z278" s="14" t="s">
        <v>69</v>
      </c>
      <c r="AA278" s="12">
        <v>2568</v>
      </c>
      <c r="AB278" s="12" t="str">
        <f t="shared" si="64"/>
        <v>44.38957/7.513522</v>
      </c>
      <c r="AC278" s="13" t="s">
        <v>1473</v>
      </c>
      <c r="AD278" s="25">
        <v>46054</v>
      </c>
      <c r="AE278" s="14" t="s">
        <v>70</v>
      </c>
      <c r="AF278" s="14" t="s">
        <v>71</v>
      </c>
      <c r="AG278" s="14" t="s">
        <v>72</v>
      </c>
      <c r="AH278" s="12" t="str">
        <f t="shared" si="62"/>
        <v>Europa | Italy | Piedmont | Confreria</v>
      </c>
      <c r="AI278" s="12" t="s">
        <v>73</v>
      </c>
      <c r="AJ278" s="12"/>
      <c r="AK278" s="12" t="s">
        <v>74</v>
      </c>
      <c r="AL278" s="12" t="str">
        <f t="shared" si="65"/>
        <v>ITA</v>
      </c>
      <c r="AM278" s="12" t="s">
        <v>90</v>
      </c>
      <c r="AN278" s="12" t="s">
        <v>589</v>
      </c>
      <c r="AO278" s="12" t="s">
        <v>57</v>
      </c>
      <c r="AP278" s="12" t="s">
        <v>77</v>
      </c>
      <c r="AQ278" s="12" t="s">
        <v>78</v>
      </c>
      <c r="AR278" s="12" t="s">
        <v>79</v>
      </c>
      <c r="AS278" s="12" t="s">
        <v>1448</v>
      </c>
      <c r="AT278" s="12" t="s">
        <v>80</v>
      </c>
      <c r="AU278" s="12" t="s">
        <v>839</v>
      </c>
      <c r="AV278" s="12">
        <v>1</v>
      </c>
      <c r="AW278" s="12">
        <v>1</v>
      </c>
      <c r="AX278" s="12" t="s">
        <v>81</v>
      </c>
      <c r="AY278" s="12" t="s">
        <v>82</v>
      </c>
      <c r="AZ278" s="12" t="s">
        <v>83</v>
      </c>
      <c r="BA278" s="12" t="s">
        <v>84</v>
      </c>
      <c r="BB278" s="12"/>
      <c r="BC278" s="27" t="s">
        <v>2033</v>
      </c>
      <c r="BD278" s="27" t="s">
        <v>2034</v>
      </c>
      <c r="BE278" s="12"/>
    </row>
    <row r="279" spans="1:57" x14ac:dyDescent="0.25">
      <c r="A279" s="12" t="s">
        <v>839</v>
      </c>
      <c r="B279" s="12" t="s">
        <v>57</v>
      </c>
      <c r="C279" s="25">
        <v>20889</v>
      </c>
      <c r="D279" s="12">
        <f t="shared" si="55"/>
        <v>69</v>
      </c>
      <c r="E279" s="23">
        <f t="shared" si="56"/>
        <v>69</v>
      </c>
      <c r="F279" s="12">
        <f t="shared" si="57"/>
        <v>1957</v>
      </c>
      <c r="G279" s="12">
        <f t="shared" si="58"/>
        <v>3</v>
      </c>
      <c r="H279" s="12">
        <f t="shared" si="59"/>
        <v>10</v>
      </c>
      <c r="I279" s="24">
        <f t="shared" si="63"/>
        <v>20889</v>
      </c>
      <c r="J279" s="12" t="s">
        <v>841</v>
      </c>
      <c r="K279" s="12" t="str">
        <f t="shared" si="60"/>
        <v>Coccothraustes coccothraustes (Brisson, 1760)</v>
      </c>
      <c r="L279" s="12" t="str">
        <f t="shared" si="61"/>
        <v>Animalia|Chordata|Aves|Passeriformes|Fringillidae|Coccothraustes</v>
      </c>
      <c r="M279" s="12" t="s">
        <v>59</v>
      </c>
      <c r="N279" s="12" t="s">
        <v>60</v>
      </c>
      <c r="O279" s="12" t="s">
        <v>61</v>
      </c>
      <c r="P279" s="12" t="s">
        <v>62</v>
      </c>
      <c r="Q279" s="12" t="s">
        <v>816</v>
      </c>
      <c r="R279" s="12" t="s">
        <v>990</v>
      </c>
      <c r="S279" s="12" t="s">
        <v>842</v>
      </c>
      <c r="T279" s="12" t="s">
        <v>66</v>
      </c>
      <c r="U279" s="12" t="s">
        <v>843</v>
      </c>
      <c r="V279" s="12"/>
      <c r="W279" s="12" t="s">
        <v>68</v>
      </c>
      <c r="X279" s="12">
        <v>44.341424000000004</v>
      </c>
      <c r="Y279" s="12">
        <v>7.4401599999999997</v>
      </c>
      <c r="Z279" s="14" t="s">
        <v>69</v>
      </c>
      <c r="AA279" s="12">
        <v>896</v>
      </c>
      <c r="AB279" s="12" t="str">
        <f t="shared" si="64"/>
        <v>44.341424/7.44016</v>
      </c>
      <c r="AC279" s="13" t="s">
        <v>1473</v>
      </c>
      <c r="AD279" s="25">
        <v>46054</v>
      </c>
      <c r="AE279" s="14" t="s">
        <v>70</v>
      </c>
      <c r="AF279" s="14" t="s">
        <v>71</v>
      </c>
      <c r="AG279" s="14" t="s">
        <v>72</v>
      </c>
      <c r="AH279" s="12" t="str">
        <f t="shared" si="62"/>
        <v>Europa | Italy | Piedmont | Roccasparvera</v>
      </c>
      <c r="AI279" s="12" t="s">
        <v>73</v>
      </c>
      <c r="AJ279" s="12"/>
      <c r="AK279" s="12" t="s">
        <v>74</v>
      </c>
      <c r="AL279" s="12" t="str">
        <f t="shared" si="65"/>
        <v>ITA</v>
      </c>
      <c r="AM279" s="12" t="s">
        <v>90</v>
      </c>
      <c r="AN279" s="12" t="s">
        <v>360</v>
      </c>
      <c r="AO279" s="12" t="s">
        <v>57</v>
      </c>
      <c r="AP279" s="12" t="s">
        <v>77</v>
      </c>
      <c r="AQ279" s="12" t="s">
        <v>78</v>
      </c>
      <c r="AR279" s="12" t="s">
        <v>79</v>
      </c>
      <c r="AS279" s="12" t="s">
        <v>1449</v>
      </c>
      <c r="AT279" s="12"/>
      <c r="AU279" s="12" t="s">
        <v>840</v>
      </c>
      <c r="AV279" s="12">
        <v>1</v>
      </c>
      <c r="AW279" s="12">
        <v>1</v>
      </c>
      <c r="AX279" s="12" t="s">
        <v>81</v>
      </c>
      <c r="AY279" s="12" t="s">
        <v>82</v>
      </c>
      <c r="AZ279" s="12" t="s">
        <v>83</v>
      </c>
      <c r="BA279" s="12" t="s">
        <v>84</v>
      </c>
      <c r="BB279" s="12"/>
      <c r="BC279" s="27" t="s">
        <v>2035</v>
      </c>
      <c r="BD279" s="27" t="s">
        <v>2036</v>
      </c>
      <c r="BE279" s="12"/>
    </row>
    <row r="280" spans="1:57" x14ac:dyDescent="0.25">
      <c r="A280" s="12" t="s">
        <v>840</v>
      </c>
      <c r="B280" s="12" t="s">
        <v>57</v>
      </c>
      <c r="C280" s="25">
        <v>23740</v>
      </c>
      <c r="D280" s="12">
        <f t="shared" si="55"/>
        <v>364</v>
      </c>
      <c r="E280" s="23">
        <f t="shared" si="56"/>
        <v>364</v>
      </c>
      <c r="F280" s="12">
        <f t="shared" si="57"/>
        <v>1964</v>
      </c>
      <c r="G280" s="12">
        <f t="shared" si="58"/>
        <v>12</v>
      </c>
      <c r="H280" s="12">
        <f t="shared" si="59"/>
        <v>29</v>
      </c>
      <c r="I280" s="24">
        <f t="shared" si="63"/>
        <v>23740</v>
      </c>
      <c r="J280" s="12" t="s">
        <v>58</v>
      </c>
      <c r="K280" s="12" t="str">
        <f t="shared" si="60"/>
        <v>Pyrrhula pyrrhula (Linnaeus, 1758)</v>
      </c>
      <c r="L280" s="12" t="str">
        <f t="shared" si="61"/>
        <v>Animalia|Chordata|Aves|Passeriformes|Fringillidae|Pyrrhula</v>
      </c>
      <c r="M280" s="12" t="s">
        <v>59</v>
      </c>
      <c r="N280" s="12" t="s">
        <v>60</v>
      </c>
      <c r="O280" s="12" t="s">
        <v>61</v>
      </c>
      <c r="P280" s="12" t="s">
        <v>62</v>
      </c>
      <c r="Q280" s="12" t="s">
        <v>816</v>
      </c>
      <c r="R280" s="12" t="s">
        <v>989</v>
      </c>
      <c r="S280" s="12" t="s">
        <v>837</v>
      </c>
      <c r="T280" s="12" t="s">
        <v>66</v>
      </c>
      <c r="U280" s="12" t="s">
        <v>838</v>
      </c>
      <c r="V280" s="12" t="s">
        <v>1165</v>
      </c>
      <c r="W280" s="12" t="s">
        <v>68</v>
      </c>
      <c r="X280" s="12">
        <v>44.327413</v>
      </c>
      <c r="Y280" s="12">
        <v>7.5456659999999998</v>
      </c>
      <c r="Z280" s="14" t="s">
        <v>69</v>
      </c>
      <c r="AA280" s="12">
        <v>1676</v>
      </c>
      <c r="AB280" s="12" t="str">
        <f t="shared" si="64"/>
        <v>44.327413/7.545666</v>
      </c>
      <c r="AC280" s="13" t="s">
        <v>1473</v>
      </c>
      <c r="AD280" s="25">
        <v>46054</v>
      </c>
      <c r="AE280" s="14" t="s">
        <v>70</v>
      </c>
      <c r="AF280" s="14" t="s">
        <v>71</v>
      </c>
      <c r="AG280" s="14" t="s">
        <v>72</v>
      </c>
      <c r="AH280" s="12" t="str">
        <f t="shared" si="62"/>
        <v>Europa | Italy | Piedmont | Boves</v>
      </c>
      <c r="AI280" s="12" t="s">
        <v>73</v>
      </c>
      <c r="AJ280" s="12"/>
      <c r="AK280" s="12" t="s">
        <v>74</v>
      </c>
      <c r="AL280" s="12" t="str">
        <f t="shared" si="65"/>
        <v>ITA</v>
      </c>
      <c r="AM280" s="12" t="s">
        <v>90</v>
      </c>
      <c r="AN280" s="12" t="s">
        <v>845</v>
      </c>
      <c r="AO280" s="12" t="s">
        <v>57</v>
      </c>
      <c r="AP280" s="12" t="s">
        <v>77</v>
      </c>
      <c r="AQ280" s="12" t="s">
        <v>78</v>
      </c>
      <c r="AR280" s="12" t="s">
        <v>79</v>
      </c>
      <c r="AS280" s="12" t="s">
        <v>1450</v>
      </c>
      <c r="AT280" s="12" t="s">
        <v>92</v>
      </c>
      <c r="AU280" s="12" t="s">
        <v>844</v>
      </c>
      <c r="AV280" s="12">
        <v>1</v>
      </c>
      <c r="AW280" s="12">
        <v>1</v>
      </c>
      <c r="AX280" s="12" t="s">
        <v>81</v>
      </c>
      <c r="AY280" s="12" t="s">
        <v>82</v>
      </c>
      <c r="AZ280" s="12" t="s">
        <v>83</v>
      </c>
      <c r="BA280" s="12" t="s">
        <v>84</v>
      </c>
      <c r="BB280" s="12"/>
      <c r="BC280" s="27" t="s">
        <v>2037</v>
      </c>
      <c r="BD280" s="27" t="s">
        <v>2038</v>
      </c>
      <c r="BE280" s="12"/>
    </row>
    <row r="281" spans="1:57" x14ac:dyDescent="0.25">
      <c r="A281" s="12" t="s">
        <v>844</v>
      </c>
      <c r="B281" s="12" t="s">
        <v>57</v>
      </c>
      <c r="C281" s="25">
        <v>20881</v>
      </c>
      <c r="D281" s="12">
        <f t="shared" si="55"/>
        <v>61</v>
      </c>
      <c r="E281" s="23">
        <f t="shared" si="56"/>
        <v>61</v>
      </c>
      <c r="F281" s="12">
        <f t="shared" si="57"/>
        <v>1957</v>
      </c>
      <c r="G281" s="12">
        <f t="shared" si="58"/>
        <v>3</v>
      </c>
      <c r="H281" s="12">
        <f t="shared" si="59"/>
        <v>2</v>
      </c>
      <c r="I281" s="24">
        <f t="shared" si="63"/>
        <v>20881</v>
      </c>
      <c r="J281" s="12" t="s">
        <v>841</v>
      </c>
      <c r="K281" s="12" t="str">
        <f t="shared" si="60"/>
        <v>Coccothraustes coccothraustes (Brisson, 1760)</v>
      </c>
      <c r="L281" s="12" t="str">
        <f t="shared" si="61"/>
        <v>Animalia|Chordata|Aves|Passeriformes|Fringillidae|Coccothraustes</v>
      </c>
      <c r="M281" s="12" t="s">
        <v>59</v>
      </c>
      <c r="N281" s="12" t="s">
        <v>60</v>
      </c>
      <c r="O281" s="12" t="s">
        <v>61</v>
      </c>
      <c r="P281" s="12" t="s">
        <v>62</v>
      </c>
      <c r="Q281" s="12" t="s">
        <v>816</v>
      </c>
      <c r="R281" s="12" t="s">
        <v>990</v>
      </c>
      <c r="S281" s="12" t="s">
        <v>842</v>
      </c>
      <c r="T281" s="12" t="s">
        <v>66</v>
      </c>
      <c r="U281" s="12" t="s">
        <v>843</v>
      </c>
      <c r="V281" s="12"/>
      <c r="W281" s="12" t="s">
        <v>68</v>
      </c>
      <c r="X281" s="12">
        <v>44.341424000000004</v>
      </c>
      <c r="Y281" s="12">
        <v>7.4401599999999997</v>
      </c>
      <c r="Z281" s="14" t="s">
        <v>69</v>
      </c>
      <c r="AA281" s="12">
        <v>896</v>
      </c>
      <c r="AB281" s="12" t="str">
        <f t="shared" si="64"/>
        <v>44.341424/7.44016</v>
      </c>
      <c r="AC281" s="13" t="s">
        <v>1473</v>
      </c>
      <c r="AD281" s="25">
        <v>46054</v>
      </c>
      <c r="AE281" s="14" t="s">
        <v>70</v>
      </c>
      <c r="AF281" s="14" t="s">
        <v>71</v>
      </c>
      <c r="AG281" s="14" t="s">
        <v>72</v>
      </c>
      <c r="AH281" s="12" t="str">
        <f t="shared" si="62"/>
        <v>Europa | Italy | Piedmont | Roccasparvera</v>
      </c>
      <c r="AI281" s="12" t="s">
        <v>73</v>
      </c>
      <c r="AJ281" s="12"/>
      <c r="AK281" s="12" t="s">
        <v>74</v>
      </c>
      <c r="AL281" s="12" t="str">
        <f t="shared" si="65"/>
        <v>ITA</v>
      </c>
      <c r="AM281" s="12" t="s">
        <v>90</v>
      </c>
      <c r="AN281" s="12" t="s">
        <v>360</v>
      </c>
      <c r="AO281" s="12" t="s">
        <v>57</v>
      </c>
      <c r="AP281" s="12" t="s">
        <v>77</v>
      </c>
      <c r="AQ281" s="12" t="s">
        <v>78</v>
      </c>
      <c r="AR281" s="12" t="s">
        <v>79</v>
      </c>
      <c r="AS281" s="12" t="s">
        <v>1451</v>
      </c>
      <c r="AT281" s="12" t="s">
        <v>80</v>
      </c>
      <c r="AU281" s="12" t="s">
        <v>846</v>
      </c>
      <c r="AV281" s="12">
        <v>1</v>
      </c>
      <c r="AW281" s="12">
        <v>1</v>
      </c>
      <c r="AX281" s="12" t="s">
        <v>81</v>
      </c>
      <c r="AY281" s="12" t="s">
        <v>82</v>
      </c>
      <c r="AZ281" s="12" t="s">
        <v>83</v>
      </c>
      <c r="BA281" s="12" t="s">
        <v>84</v>
      </c>
      <c r="BB281" s="12"/>
      <c r="BC281" s="27" t="s">
        <v>2039</v>
      </c>
      <c r="BD281" s="27" t="s">
        <v>2040</v>
      </c>
      <c r="BE281" s="12"/>
    </row>
    <row r="282" spans="1:57" x14ac:dyDescent="0.25">
      <c r="A282" s="12" t="s">
        <v>846</v>
      </c>
      <c r="B282" s="12" t="s">
        <v>57</v>
      </c>
      <c r="C282" s="12">
        <v>1891</v>
      </c>
      <c r="D282" s="12">
        <f t="shared" si="55"/>
        <v>64</v>
      </c>
      <c r="E282" s="23">
        <f t="shared" si="56"/>
        <v>64</v>
      </c>
      <c r="F282" s="12">
        <f t="shared" si="57"/>
        <v>1891</v>
      </c>
      <c r="G282" s="12">
        <f t="shared" si="58"/>
        <v>3</v>
      </c>
      <c r="H282" s="12">
        <f t="shared" si="59"/>
        <v>5</v>
      </c>
      <c r="I282" s="24">
        <f t="shared" si="63"/>
        <v>1891</v>
      </c>
      <c r="J282" s="12" t="s">
        <v>841</v>
      </c>
      <c r="K282" s="12" t="str">
        <f t="shared" si="60"/>
        <v>Coccothraustes coccothraustes (Brisson, 1760)</v>
      </c>
      <c r="L282" s="12" t="str">
        <f t="shared" si="61"/>
        <v>Animalia|Chordata|Aves|Passeriformes|Fringillidae|Coccothraustes</v>
      </c>
      <c r="M282" s="12" t="s">
        <v>59</v>
      </c>
      <c r="N282" s="12" t="s">
        <v>60</v>
      </c>
      <c r="O282" s="12" t="s">
        <v>61</v>
      </c>
      <c r="P282" s="12" t="s">
        <v>62</v>
      </c>
      <c r="Q282" s="12" t="s">
        <v>816</v>
      </c>
      <c r="R282" s="12" t="s">
        <v>990</v>
      </c>
      <c r="S282" s="12" t="s">
        <v>842</v>
      </c>
      <c r="T282" s="12" t="s">
        <v>66</v>
      </c>
      <c r="U282" s="12" t="s">
        <v>843</v>
      </c>
      <c r="V282" s="12"/>
      <c r="W282" s="12" t="s">
        <v>68</v>
      </c>
      <c r="X282" s="12">
        <v>41.9</v>
      </c>
      <c r="Y282" s="12">
        <v>12.483333</v>
      </c>
      <c r="Z282" s="14" t="s">
        <v>69</v>
      </c>
      <c r="AA282" s="12">
        <v>36625</v>
      </c>
      <c r="AB282" s="12" t="str">
        <f t="shared" si="64"/>
        <v>41.9/12.483333</v>
      </c>
      <c r="AC282" s="13" t="s">
        <v>1473</v>
      </c>
      <c r="AD282" s="25">
        <v>46054</v>
      </c>
      <c r="AE282" s="14" t="s">
        <v>70</v>
      </c>
      <c r="AF282" s="14" t="s">
        <v>71</v>
      </c>
      <c r="AG282" s="14" t="s">
        <v>72</v>
      </c>
      <c r="AH282" s="12" t="str">
        <f t="shared" si="62"/>
        <v>Europa | Italy | Lazio | Rome</v>
      </c>
      <c r="AI282" s="12" t="s">
        <v>73</v>
      </c>
      <c r="AJ282" s="12"/>
      <c r="AK282" s="12" t="s">
        <v>74</v>
      </c>
      <c r="AL282" s="12" t="str">
        <f t="shared" si="65"/>
        <v>ITA</v>
      </c>
      <c r="AM282" s="12" t="s">
        <v>75</v>
      </c>
      <c r="AN282" s="12" t="s">
        <v>153</v>
      </c>
      <c r="AO282" s="12" t="s">
        <v>57</v>
      </c>
      <c r="AP282" s="12" t="s">
        <v>77</v>
      </c>
      <c r="AQ282" s="12" t="s">
        <v>78</v>
      </c>
      <c r="AR282" s="12" t="s">
        <v>79</v>
      </c>
      <c r="AS282" s="12" t="s">
        <v>1452</v>
      </c>
      <c r="AT282" s="12" t="s">
        <v>80</v>
      </c>
      <c r="AU282" s="12" t="s">
        <v>847</v>
      </c>
      <c r="AV282" s="12">
        <v>1</v>
      </c>
      <c r="AW282" s="12">
        <v>1</v>
      </c>
      <c r="AX282" s="12" t="s">
        <v>81</v>
      </c>
      <c r="AY282" s="12" t="s">
        <v>82</v>
      </c>
      <c r="AZ282" s="12" t="s">
        <v>83</v>
      </c>
      <c r="BA282" s="12" t="s">
        <v>84</v>
      </c>
      <c r="BB282" s="12"/>
      <c r="BC282" s="27" t="s">
        <v>2041</v>
      </c>
      <c r="BD282" s="27" t="s">
        <v>2042</v>
      </c>
      <c r="BE282" s="12"/>
    </row>
    <row r="283" spans="1:57" x14ac:dyDescent="0.25">
      <c r="A283" s="12" t="s">
        <v>847</v>
      </c>
      <c r="B283" s="12" t="s">
        <v>57</v>
      </c>
      <c r="C283" s="25">
        <v>20942</v>
      </c>
      <c r="D283" s="12">
        <f t="shared" si="55"/>
        <v>122</v>
      </c>
      <c r="E283" s="23">
        <f t="shared" si="56"/>
        <v>122</v>
      </c>
      <c r="F283" s="12">
        <f t="shared" si="57"/>
        <v>1957</v>
      </c>
      <c r="G283" s="12">
        <f t="shared" si="58"/>
        <v>5</v>
      </c>
      <c r="H283" s="12">
        <f t="shared" si="59"/>
        <v>2</v>
      </c>
      <c r="I283" s="24">
        <f t="shared" si="63"/>
        <v>20942</v>
      </c>
      <c r="J283" s="12" t="s">
        <v>58</v>
      </c>
      <c r="K283" s="12" t="str">
        <f t="shared" si="60"/>
        <v>Sturnus vulgaris (Linnaeus, 1758)</v>
      </c>
      <c r="L283" s="12" t="str">
        <f t="shared" si="61"/>
        <v>Animalia|Chordata|Aves|Passeriformes|Sturnidae|Sturnus</v>
      </c>
      <c r="M283" s="12" t="s">
        <v>59</v>
      </c>
      <c r="N283" s="12" t="s">
        <v>60</v>
      </c>
      <c r="O283" s="12" t="s">
        <v>61</v>
      </c>
      <c r="P283" s="12" t="s">
        <v>62</v>
      </c>
      <c r="Q283" s="12" t="s">
        <v>849</v>
      </c>
      <c r="R283" s="12" t="s">
        <v>991</v>
      </c>
      <c r="S283" s="12" t="s">
        <v>850</v>
      </c>
      <c r="T283" s="12" t="s">
        <v>66</v>
      </c>
      <c r="U283" s="12" t="s">
        <v>851</v>
      </c>
      <c r="V283" s="12" t="s">
        <v>1165</v>
      </c>
      <c r="W283" s="12" t="s">
        <v>68</v>
      </c>
      <c r="X283" s="12">
        <v>45.388095</v>
      </c>
      <c r="Y283" s="12">
        <v>11.794121000000001</v>
      </c>
      <c r="Z283" s="14" t="s">
        <v>69</v>
      </c>
      <c r="AA283" s="12">
        <v>1509</v>
      </c>
      <c r="AB283" s="12" t="str">
        <f t="shared" si="64"/>
        <v>45.388095/11.794121</v>
      </c>
      <c r="AC283" s="13" t="s">
        <v>1473</v>
      </c>
      <c r="AD283" s="25">
        <v>46054</v>
      </c>
      <c r="AE283" s="14" t="s">
        <v>70</v>
      </c>
      <c r="AF283" s="14" t="s">
        <v>71</v>
      </c>
      <c r="AG283" s="14" t="s">
        <v>72</v>
      </c>
      <c r="AH283" s="12" t="str">
        <f t="shared" si="62"/>
        <v>Europa | Italy | Piedmont | Cuneo</v>
      </c>
      <c r="AI283" s="12" t="s">
        <v>73</v>
      </c>
      <c r="AJ283" s="12"/>
      <c r="AK283" s="12" t="s">
        <v>74</v>
      </c>
      <c r="AL283" s="12" t="str">
        <f t="shared" si="65"/>
        <v>ITA</v>
      </c>
      <c r="AM283" s="12" t="s">
        <v>90</v>
      </c>
      <c r="AN283" s="12" t="s">
        <v>206</v>
      </c>
      <c r="AO283" s="12" t="s">
        <v>57</v>
      </c>
      <c r="AP283" s="12" t="s">
        <v>77</v>
      </c>
      <c r="AQ283" s="12" t="s">
        <v>78</v>
      </c>
      <c r="AR283" s="12" t="s">
        <v>79</v>
      </c>
      <c r="AS283" s="12" t="s">
        <v>1453</v>
      </c>
      <c r="AT283" s="12" t="s">
        <v>80</v>
      </c>
      <c r="AU283" s="12" t="s">
        <v>848</v>
      </c>
      <c r="AV283" s="12">
        <v>1</v>
      </c>
      <c r="AW283" s="12">
        <v>1</v>
      </c>
      <c r="AX283" s="12" t="s">
        <v>81</v>
      </c>
      <c r="AY283" s="12" t="s">
        <v>82</v>
      </c>
      <c r="AZ283" s="12" t="s">
        <v>83</v>
      </c>
      <c r="BA283" s="12" t="s">
        <v>84</v>
      </c>
      <c r="BB283" s="12"/>
      <c r="BC283" s="27" t="s">
        <v>2043</v>
      </c>
      <c r="BD283" s="27" t="s">
        <v>2044</v>
      </c>
      <c r="BE283" s="12"/>
    </row>
    <row r="284" spans="1:57" x14ac:dyDescent="0.25">
      <c r="A284" s="12" t="s">
        <v>848</v>
      </c>
      <c r="B284" s="12" t="s">
        <v>57</v>
      </c>
      <c r="C284" s="12">
        <v>1898</v>
      </c>
      <c r="D284" s="12">
        <f t="shared" si="55"/>
        <v>71</v>
      </c>
      <c r="E284" s="23">
        <f t="shared" si="56"/>
        <v>71</v>
      </c>
      <c r="F284" s="12">
        <f t="shared" si="57"/>
        <v>1898</v>
      </c>
      <c r="G284" s="12">
        <f t="shared" si="58"/>
        <v>3</v>
      </c>
      <c r="H284" s="12">
        <f t="shared" si="59"/>
        <v>12</v>
      </c>
      <c r="I284" s="24">
        <f t="shared" si="63"/>
        <v>1898</v>
      </c>
      <c r="J284" s="12" t="s">
        <v>58</v>
      </c>
      <c r="K284" s="12" t="str">
        <f t="shared" si="60"/>
        <v>Sturnus vulgaris (Linnaeus, 1758)</v>
      </c>
      <c r="L284" s="12" t="str">
        <f t="shared" si="61"/>
        <v>Animalia|Chordata|Aves|Passeriformes|Sturnidae|Sturnus</v>
      </c>
      <c r="M284" s="12" t="s">
        <v>59</v>
      </c>
      <c r="N284" s="12" t="s">
        <v>60</v>
      </c>
      <c r="O284" s="12" t="s">
        <v>61</v>
      </c>
      <c r="P284" s="12" t="s">
        <v>62</v>
      </c>
      <c r="Q284" s="12" t="s">
        <v>849</v>
      </c>
      <c r="R284" s="12" t="s">
        <v>991</v>
      </c>
      <c r="S284" s="12" t="s">
        <v>850</v>
      </c>
      <c r="T284" s="12" t="s">
        <v>66</v>
      </c>
      <c r="U284" s="12" t="s">
        <v>851</v>
      </c>
      <c r="V284" s="12"/>
      <c r="W284" s="12" t="s">
        <v>68</v>
      </c>
      <c r="X284" s="12">
        <v>42.108150999999999</v>
      </c>
      <c r="Y284" s="12">
        <v>11.806179999999999</v>
      </c>
      <c r="Z284" s="14" t="s">
        <v>69</v>
      </c>
      <c r="AA284" s="12">
        <v>3062</v>
      </c>
      <c r="AB284" s="12" t="str">
        <f t="shared" si="64"/>
        <v>42.108151/11.80618</v>
      </c>
      <c r="AC284" s="13" t="s">
        <v>1473</v>
      </c>
      <c r="AD284" s="25">
        <v>46054</v>
      </c>
      <c r="AE284" s="14" t="s">
        <v>70</v>
      </c>
      <c r="AF284" s="14" t="s">
        <v>71</v>
      </c>
      <c r="AG284" s="14" t="s">
        <v>72</v>
      </c>
      <c r="AH284" s="12" t="str">
        <f t="shared" si="62"/>
        <v>Europa | Italy | Lazio | Civitavecchia</v>
      </c>
      <c r="AI284" s="12" t="s">
        <v>73</v>
      </c>
      <c r="AJ284" s="12"/>
      <c r="AK284" s="12" t="s">
        <v>74</v>
      </c>
      <c r="AL284" s="12" t="str">
        <f t="shared" si="65"/>
        <v>ITA</v>
      </c>
      <c r="AM284" s="12" t="s">
        <v>75</v>
      </c>
      <c r="AN284" s="12" t="s">
        <v>853</v>
      </c>
      <c r="AO284" s="12" t="s">
        <v>57</v>
      </c>
      <c r="AP284" s="12" t="s">
        <v>77</v>
      </c>
      <c r="AQ284" s="12" t="s">
        <v>78</v>
      </c>
      <c r="AR284" s="12" t="s">
        <v>79</v>
      </c>
      <c r="AS284" s="12" t="s">
        <v>1454</v>
      </c>
      <c r="AT284" s="12"/>
      <c r="AU284" s="12" t="s">
        <v>852</v>
      </c>
      <c r="AV284" s="12">
        <v>1</v>
      </c>
      <c r="AW284" s="12">
        <v>1</v>
      </c>
      <c r="AX284" s="12" t="s">
        <v>81</v>
      </c>
      <c r="AY284" s="12" t="s">
        <v>82</v>
      </c>
      <c r="AZ284" s="12" t="s">
        <v>83</v>
      </c>
      <c r="BA284" s="12" t="s">
        <v>84</v>
      </c>
      <c r="BB284" s="12"/>
      <c r="BC284" s="27" t="s">
        <v>2045</v>
      </c>
      <c r="BD284" s="27" t="s">
        <v>2046</v>
      </c>
      <c r="BE284" s="12"/>
    </row>
    <row r="285" spans="1:57" x14ac:dyDescent="0.25">
      <c r="A285" s="12" t="s">
        <v>852</v>
      </c>
      <c r="B285" s="12" t="s">
        <v>57</v>
      </c>
      <c r="C285" s="25">
        <v>20774</v>
      </c>
      <c r="D285" s="12">
        <f t="shared" si="55"/>
        <v>320</v>
      </c>
      <c r="E285" s="23">
        <f t="shared" si="56"/>
        <v>320</v>
      </c>
      <c r="F285" s="12">
        <f t="shared" si="57"/>
        <v>1956</v>
      </c>
      <c r="G285" s="12">
        <f t="shared" si="58"/>
        <v>11</v>
      </c>
      <c r="H285" s="12">
        <f t="shared" si="59"/>
        <v>15</v>
      </c>
      <c r="I285" s="24">
        <f t="shared" si="63"/>
        <v>20774</v>
      </c>
      <c r="J285" s="12" t="s">
        <v>58</v>
      </c>
      <c r="K285" s="12" t="str">
        <f t="shared" si="60"/>
        <v>Sturnus vulgaris (Linnaeus, 1758)</v>
      </c>
      <c r="L285" s="12" t="str">
        <f t="shared" si="61"/>
        <v>Animalia|Chordata|Aves|Passeriformes|Sturnidae|Sturnus</v>
      </c>
      <c r="M285" s="12" t="s">
        <v>59</v>
      </c>
      <c r="N285" s="12" t="s">
        <v>60</v>
      </c>
      <c r="O285" s="12" t="s">
        <v>61</v>
      </c>
      <c r="P285" s="12" t="s">
        <v>62</v>
      </c>
      <c r="Q285" s="12" t="s">
        <v>849</v>
      </c>
      <c r="R285" s="12" t="s">
        <v>991</v>
      </c>
      <c r="S285" s="12" t="s">
        <v>850</v>
      </c>
      <c r="T285" s="12" t="s">
        <v>66</v>
      </c>
      <c r="U285" s="12" t="s">
        <v>851</v>
      </c>
      <c r="V285" s="12" t="s">
        <v>1167</v>
      </c>
      <c r="W285" s="12" t="s">
        <v>68</v>
      </c>
      <c r="X285" s="12">
        <v>44.33014</v>
      </c>
      <c r="Y285" s="12">
        <v>7.4859239999999998</v>
      </c>
      <c r="Z285" s="14" t="s">
        <v>69</v>
      </c>
      <c r="AA285" s="12">
        <v>1929</v>
      </c>
      <c r="AB285" s="12" t="str">
        <f t="shared" si="64"/>
        <v>44.33014/7.485924</v>
      </c>
      <c r="AC285" s="13" t="s">
        <v>1473</v>
      </c>
      <c r="AD285" s="25">
        <v>46054</v>
      </c>
      <c r="AE285" s="14" t="s">
        <v>70</v>
      </c>
      <c r="AF285" s="14" t="s">
        <v>71</v>
      </c>
      <c r="AG285" s="14" t="s">
        <v>72</v>
      </c>
      <c r="AH285" s="12" t="str">
        <f t="shared" si="62"/>
        <v>Europa | Italy | Piedmont | Borgo San Dalmazzo</v>
      </c>
      <c r="AI285" s="12" t="s">
        <v>73</v>
      </c>
      <c r="AJ285" s="12"/>
      <c r="AK285" s="12" t="s">
        <v>74</v>
      </c>
      <c r="AL285" s="12" t="str">
        <f t="shared" si="65"/>
        <v>ITA</v>
      </c>
      <c r="AM285" s="12" t="s">
        <v>90</v>
      </c>
      <c r="AN285" s="12" t="s">
        <v>160</v>
      </c>
      <c r="AO285" s="12" t="s">
        <v>57</v>
      </c>
      <c r="AP285" s="12" t="s">
        <v>77</v>
      </c>
      <c r="AQ285" s="12" t="s">
        <v>78</v>
      </c>
      <c r="AR285" s="12" t="s">
        <v>79</v>
      </c>
      <c r="AS285" s="12" t="s">
        <v>1455</v>
      </c>
      <c r="AT285" s="12" t="s">
        <v>92</v>
      </c>
      <c r="AU285" s="12" t="s">
        <v>854</v>
      </c>
      <c r="AV285" s="12">
        <v>1</v>
      </c>
      <c r="AW285" s="12">
        <v>1</v>
      </c>
      <c r="AX285" s="12" t="s">
        <v>81</v>
      </c>
      <c r="AY285" s="12" t="s">
        <v>82</v>
      </c>
      <c r="AZ285" s="12" t="s">
        <v>83</v>
      </c>
      <c r="BA285" s="12" t="s">
        <v>84</v>
      </c>
      <c r="BB285" s="12"/>
      <c r="BC285" s="27" t="s">
        <v>2047</v>
      </c>
      <c r="BD285" s="27" t="s">
        <v>2048</v>
      </c>
      <c r="BE285" s="12"/>
    </row>
    <row r="286" spans="1:57" x14ac:dyDescent="0.25">
      <c r="A286" s="12" t="s">
        <v>854</v>
      </c>
      <c r="B286" s="12" t="s">
        <v>57</v>
      </c>
      <c r="C286" s="25">
        <v>21808</v>
      </c>
      <c r="D286" s="12">
        <f t="shared" si="55"/>
        <v>258</v>
      </c>
      <c r="E286" s="23">
        <f t="shared" si="56"/>
        <v>258</v>
      </c>
      <c r="F286" s="12">
        <f t="shared" si="57"/>
        <v>1959</v>
      </c>
      <c r="G286" s="12">
        <f t="shared" si="58"/>
        <v>9</v>
      </c>
      <c r="H286" s="12">
        <f t="shared" si="59"/>
        <v>15</v>
      </c>
      <c r="I286" s="24">
        <f t="shared" si="63"/>
        <v>21808</v>
      </c>
      <c r="J286" s="12" t="s">
        <v>58</v>
      </c>
      <c r="K286" s="12" t="str">
        <f t="shared" si="60"/>
        <v>Sturnus vulgaris (Linnaeus, 1758)</v>
      </c>
      <c r="L286" s="12" t="str">
        <f t="shared" si="61"/>
        <v>Animalia|Chordata|Aves|Passeriformes|Sturnidae|Sturnus</v>
      </c>
      <c r="M286" s="12" t="s">
        <v>59</v>
      </c>
      <c r="N286" s="12" t="s">
        <v>60</v>
      </c>
      <c r="O286" s="12" t="s">
        <v>61</v>
      </c>
      <c r="P286" s="12" t="s">
        <v>62</v>
      </c>
      <c r="Q286" s="12" t="s">
        <v>849</v>
      </c>
      <c r="R286" s="12" t="s">
        <v>991</v>
      </c>
      <c r="S286" s="12" t="s">
        <v>850</v>
      </c>
      <c r="T286" s="12" t="s">
        <v>66</v>
      </c>
      <c r="U286" s="12" t="s">
        <v>851</v>
      </c>
      <c r="V286" s="12" t="s">
        <v>1167</v>
      </c>
      <c r="W286" s="12" t="s">
        <v>68</v>
      </c>
      <c r="X286" s="12">
        <v>44.33014</v>
      </c>
      <c r="Y286" s="12">
        <v>7.4859239999999998</v>
      </c>
      <c r="Z286" s="14" t="s">
        <v>69</v>
      </c>
      <c r="AA286" s="12">
        <v>1929</v>
      </c>
      <c r="AB286" s="12" t="str">
        <f t="shared" si="64"/>
        <v>44.33014/7.485924</v>
      </c>
      <c r="AC286" s="13" t="s">
        <v>1473</v>
      </c>
      <c r="AD286" s="25">
        <v>46054</v>
      </c>
      <c r="AE286" s="14" t="s">
        <v>70</v>
      </c>
      <c r="AF286" s="14" t="s">
        <v>71</v>
      </c>
      <c r="AG286" s="14" t="s">
        <v>72</v>
      </c>
      <c r="AH286" s="12" t="str">
        <f t="shared" si="62"/>
        <v>Europa | Italy | Piedmont | Borgo San Dalmazzo</v>
      </c>
      <c r="AI286" s="12" t="s">
        <v>73</v>
      </c>
      <c r="AJ286" s="12"/>
      <c r="AK286" s="12" t="s">
        <v>74</v>
      </c>
      <c r="AL286" s="12" t="str">
        <f t="shared" si="65"/>
        <v>ITA</v>
      </c>
      <c r="AM286" s="12" t="s">
        <v>90</v>
      </c>
      <c r="AN286" s="12" t="s">
        <v>160</v>
      </c>
      <c r="AO286" s="12" t="s">
        <v>57</v>
      </c>
      <c r="AP286" s="12" t="s">
        <v>77</v>
      </c>
      <c r="AQ286" s="12" t="s">
        <v>78</v>
      </c>
      <c r="AR286" s="12" t="s">
        <v>79</v>
      </c>
      <c r="AS286" s="12" t="s">
        <v>1456</v>
      </c>
      <c r="AT286" s="12"/>
      <c r="AU286" s="12" t="s">
        <v>855</v>
      </c>
      <c r="AV286" s="12">
        <v>1</v>
      </c>
      <c r="AW286" s="12">
        <v>1</v>
      </c>
      <c r="AX286" s="12" t="s">
        <v>81</v>
      </c>
      <c r="AY286" s="12" t="s">
        <v>82</v>
      </c>
      <c r="AZ286" s="12" t="s">
        <v>83</v>
      </c>
      <c r="BA286" s="12" t="s">
        <v>84</v>
      </c>
      <c r="BB286" s="12"/>
      <c r="BC286" s="27" t="s">
        <v>2049</v>
      </c>
      <c r="BD286" s="27" t="s">
        <v>2050</v>
      </c>
      <c r="BE286" s="12"/>
    </row>
    <row r="287" spans="1:57" x14ac:dyDescent="0.25">
      <c r="A287" s="12" t="s">
        <v>855</v>
      </c>
      <c r="B287" s="12" t="s">
        <v>57</v>
      </c>
      <c r="C287" s="25">
        <v>21806</v>
      </c>
      <c r="D287" s="12">
        <f t="shared" si="55"/>
        <v>256</v>
      </c>
      <c r="E287" s="23">
        <f t="shared" si="56"/>
        <v>256</v>
      </c>
      <c r="F287" s="12">
        <f t="shared" si="57"/>
        <v>1959</v>
      </c>
      <c r="G287" s="12">
        <f t="shared" si="58"/>
        <v>9</v>
      </c>
      <c r="H287" s="12">
        <f t="shared" si="59"/>
        <v>13</v>
      </c>
      <c r="I287" s="24">
        <f t="shared" si="63"/>
        <v>21806</v>
      </c>
      <c r="J287" s="12" t="s">
        <v>58</v>
      </c>
      <c r="K287" s="12" t="str">
        <f t="shared" si="60"/>
        <v>Sturnus vulgaris (Linnaeus, 1758)</v>
      </c>
      <c r="L287" s="12" t="str">
        <f t="shared" si="61"/>
        <v>Animalia|Chordata|Aves|Passeriformes|Sturnidae|Sturnus</v>
      </c>
      <c r="M287" s="12" t="s">
        <v>59</v>
      </c>
      <c r="N287" s="12" t="s">
        <v>60</v>
      </c>
      <c r="O287" s="12" t="s">
        <v>61</v>
      </c>
      <c r="P287" s="12" t="s">
        <v>62</v>
      </c>
      <c r="Q287" s="12" t="s">
        <v>849</v>
      </c>
      <c r="R287" s="12" t="s">
        <v>991</v>
      </c>
      <c r="S287" s="12" t="s">
        <v>850</v>
      </c>
      <c r="T287" s="12" t="s">
        <v>66</v>
      </c>
      <c r="U287" s="12" t="s">
        <v>851</v>
      </c>
      <c r="V287" s="12" t="s">
        <v>1165</v>
      </c>
      <c r="W287" s="12" t="s">
        <v>68</v>
      </c>
      <c r="X287" s="12">
        <v>44.33014</v>
      </c>
      <c r="Y287" s="12">
        <v>7.4859239999999998</v>
      </c>
      <c r="Z287" s="14" t="s">
        <v>69</v>
      </c>
      <c r="AA287" s="12">
        <v>1929</v>
      </c>
      <c r="AB287" s="12" t="str">
        <f t="shared" si="64"/>
        <v>44.33014/7.485924</v>
      </c>
      <c r="AC287" s="13" t="s">
        <v>1473</v>
      </c>
      <c r="AD287" s="25">
        <v>46054</v>
      </c>
      <c r="AE287" s="14" t="s">
        <v>70</v>
      </c>
      <c r="AF287" s="14" t="s">
        <v>71</v>
      </c>
      <c r="AG287" s="14" t="s">
        <v>72</v>
      </c>
      <c r="AH287" s="12" t="str">
        <f t="shared" si="62"/>
        <v>Europa | Italy | Piedmont | Borgo San Dalmazzo</v>
      </c>
      <c r="AI287" s="12" t="s">
        <v>73</v>
      </c>
      <c r="AJ287" s="12"/>
      <c r="AK287" s="12" t="s">
        <v>74</v>
      </c>
      <c r="AL287" s="12" t="str">
        <f t="shared" si="65"/>
        <v>ITA</v>
      </c>
      <c r="AM287" s="12" t="s">
        <v>90</v>
      </c>
      <c r="AN287" s="12" t="s">
        <v>160</v>
      </c>
      <c r="AO287" s="12" t="s">
        <v>57</v>
      </c>
      <c r="AP287" s="12" t="s">
        <v>77</v>
      </c>
      <c r="AQ287" s="12" t="s">
        <v>78</v>
      </c>
      <c r="AR287" s="12" t="s">
        <v>79</v>
      </c>
      <c r="AS287" s="12" t="s">
        <v>1457</v>
      </c>
      <c r="AT287" s="12" t="s">
        <v>80</v>
      </c>
      <c r="AU287" s="12" t="s">
        <v>856</v>
      </c>
      <c r="AV287" s="12">
        <v>1</v>
      </c>
      <c r="AW287" s="12">
        <v>1</v>
      </c>
      <c r="AX287" s="12" t="s">
        <v>81</v>
      </c>
      <c r="AY287" s="12" t="s">
        <v>82</v>
      </c>
      <c r="AZ287" s="12" t="s">
        <v>83</v>
      </c>
      <c r="BA287" s="12" t="s">
        <v>84</v>
      </c>
      <c r="BB287" s="12"/>
      <c r="BC287" s="27" t="s">
        <v>2051</v>
      </c>
      <c r="BD287" s="27" t="s">
        <v>2052</v>
      </c>
      <c r="BE287" s="12"/>
    </row>
    <row r="288" spans="1:57" x14ac:dyDescent="0.25">
      <c r="A288" s="12" t="s">
        <v>856</v>
      </c>
      <c r="B288" s="12" t="s">
        <v>57</v>
      </c>
      <c r="C288" s="25">
        <v>3104</v>
      </c>
      <c r="D288" s="12">
        <f t="shared" si="55"/>
        <v>182</v>
      </c>
      <c r="E288" s="23">
        <f t="shared" si="56"/>
        <v>182</v>
      </c>
      <c r="F288" s="12">
        <v>1908</v>
      </c>
      <c r="G288" s="12">
        <f t="shared" si="58"/>
        <v>6</v>
      </c>
      <c r="H288" s="12">
        <f t="shared" si="59"/>
        <v>30</v>
      </c>
      <c r="I288" s="24">
        <v>1908</v>
      </c>
      <c r="J288" s="12" t="s">
        <v>58</v>
      </c>
      <c r="K288" s="12" t="str">
        <f t="shared" si="60"/>
        <v>Pastor roseus (Linnaeus, 1758)</v>
      </c>
      <c r="L288" s="12" t="str">
        <f t="shared" si="61"/>
        <v>Animalia|Chordata|Aves|Passeriformes|Sturnidae|Pastor</v>
      </c>
      <c r="M288" s="12" t="s">
        <v>59</v>
      </c>
      <c r="N288" s="12" t="s">
        <v>60</v>
      </c>
      <c r="O288" s="12" t="s">
        <v>61</v>
      </c>
      <c r="P288" s="12" t="s">
        <v>62</v>
      </c>
      <c r="Q288" s="12" t="s">
        <v>849</v>
      </c>
      <c r="R288" s="12" t="s">
        <v>992</v>
      </c>
      <c r="S288" s="12" t="s">
        <v>858</v>
      </c>
      <c r="T288" s="12" t="s">
        <v>66</v>
      </c>
      <c r="U288" s="12" t="s">
        <v>859</v>
      </c>
      <c r="V288" s="12" t="s">
        <v>1170</v>
      </c>
      <c r="W288" s="12" t="s">
        <v>68</v>
      </c>
      <c r="X288" s="12">
        <v>45.437353999999999</v>
      </c>
      <c r="Y288" s="12">
        <v>10.993477</v>
      </c>
      <c r="Z288" s="14" t="s">
        <v>69</v>
      </c>
      <c r="AA288" s="12">
        <v>3498</v>
      </c>
      <c r="AB288" s="12" t="str">
        <f t="shared" si="64"/>
        <v>45.437354/10.993477</v>
      </c>
      <c r="AC288" s="13" t="s">
        <v>1473</v>
      </c>
      <c r="AD288" s="25">
        <v>46054</v>
      </c>
      <c r="AE288" s="14" t="s">
        <v>70</v>
      </c>
      <c r="AF288" s="14" t="s">
        <v>71</v>
      </c>
      <c r="AG288" s="14" t="s">
        <v>72</v>
      </c>
      <c r="AH288" s="12" t="str">
        <f t="shared" si="62"/>
        <v>Europa | Italy | Veneto | Verona</v>
      </c>
      <c r="AI288" s="12" t="s">
        <v>73</v>
      </c>
      <c r="AJ288" s="12"/>
      <c r="AK288" s="12" t="s">
        <v>74</v>
      </c>
      <c r="AL288" s="12" t="str">
        <f t="shared" si="65"/>
        <v>ITA</v>
      </c>
      <c r="AM288" s="12" t="s">
        <v>150</v>
      </c>
      <c r="AN288" s="12" t="s">
        <v>860</v>
      </c>
      <c r="AO288" s="12" t="s">
        <v>57</v>
      </c>
      <c r="AP288" s="12" t="s">
        <v>77</v>
      </c>
      <c r="AQ288" s="12" t="s">
        <v>78</v>
      </c>
      <c r="AR288" s="12" t="s">
        <v>79</v>
      </c>
      <c r="AS288" s="12" t="s">
        <v>1458</v>
      </c>
      <c r="AT288" s="12" t="s">
        <v>80</v>
      </c>
      <c r="AU288" s="12" t="s">
        <v>857</v>
      </c>
      <c r="AV288" s="12">
        <v>1</v>
      </c>
      <c r="AW288" s="12">
        <v>1</v>
      </c>
      <c r="AX288" s="12" t="s">
        <v>81</v>
      </c>
      <c r="AY288" s="12" t="s">
        <v>82</v>
      </c>
      <c r="AZ288" s="12" t="s">
        <v>83</v>
      </c>
      <c r="BA288" s="12" t="s">
        <v>84</v>
      </c>
      <c r="BB288" s="12"/>
      <c r="BC288" s="27" t="s">
        <v>2053</v>
      </c>
      <c r="BD288" s="27" t="s">
        <v>2054</v>
      </c>
      <c r="BE288" s="12"/>
    </row>
    <row r="289" spans="1:57" x14ac:dyDescent="0.25">
      <c r="A289" s="12" t="s">
        <v>857</v>
      </c>
      <c r="B289" s="12" t="s">
        <v>57</v>
      </c>
      <c r="C289" s="25">
        <v>23742</v>
      </c>
      <c r="D289" s="12">
        <f t="shared" si="55"/>
        <v>366</v>
      </c>
      <c r="E289" s="23">
        <f t="shared" si="56"/>
        <v>366</v>
      </c>
      <c r="F289" s="12">
        <f t="shared" si="57"/>
        <v>1964</v>
      </c>
      <c r="G289" s="12">
        <f t="shared" si="58"/>
        <v>12</v>
      </c>
      <c r="H289" s="12">
        <f t="shared" si="59"/>
        <v>31</v>
      </c>
      <c r="I289" s="24">
        <f t="shared" si="63"/>
        <v>23742</v>
      </c>
      <c r="J289" s="12" t="s">
        <v>58</v>
      </c>
      <c r="K289" s="12" t="str">
        <f t="shared" si="60"/>
        <v>Passer montanus (Linnaeus, 1758)</v>
      </c>
      <c r="L289" s="12" t="str">
        <f t="shared" si="61"/>
        <v>Animalia|Chordata|Aves|Passeriformes|Passeridae|Passer</v>
      </c>
      <c r="M289" s="12" t="s">
        <v>59</v>
      </c>
      <c r="N289" s="12" t="s">
        <v>60</v>
      </c>
      <c r="O289" s="12" t="s">
        <v>61</v>
      </c>
      <c r="P289" s="12" t="s">
        <v>62</v>
      </c>
      <c r="Q289" s="12" t="s">
        <v>146</v>
      </c>
      <c r="R289" s="12" t="s">
        <v>147</v>
      </c>
      <c r="S289" s="12" t="s">
        <v>174</v>
      </c>
      <c r="T289" s="12" t="s">
        <v>66</v>
      </c>
      <c r="U289" s="12" t="s">
        <v>175</v>
      </c>
      <c r="V289" s="12" t="s">
        <v>1165</v>
      </c>
      <c r="W289" s="12" t="s">
        <v>68</v>
      </c>
      <c r="X289" s="12">
        <v>44.362403999999998</v>
      </c>
      <c r="Y289" s="12">
        <v>6.9602209999999998</v>
      </c>
      <c r="Z289" s="14" t="s">
        <v>69</v>
      </c>
      <c r="AA289" s="12">
        <v>957</v>
      </c>
      <c r="AB289" s="12" t="str">
        <f t="shared" si="64"/>
        <v>44.362404/6.960221</v>
      </c>
      <c r="AC289" s="13" t="s">
        <v>1473</v>
      </c>
      <c r="AD289" s="25">
        <v>46054</v>
      </c>
      <c r="AE289" s="14" t="s">
        <v>70</v>
      </c>
      <c r="AF289" s="14" t="s">
        <v>71</v>
      </c>
      <c r="AG289" s="14" t="s">
        <v>72</v>
      </c>
      <c r="AH289" s="12" t="str">
        <f t="shared" si="62"/>
        <v>Europa | Italy | Piedmont | Ferrere da Bersezio</v>
      </c>
      <c r="AI289" s="12" t="s">
        <v>73</v>
      </c>
      <c r="AJ289" s="12"/>
      <c r="AK289" s="12" t="s">
        <v>74</v>
      </c>
      <c r="AL289" s="12" t="str">
        <f t="shared" si="65"/>
        <v>ITA</v>
      </c>
      <c r="AM289" s="12" t="s">
        <v>90</v>
      </c>
      <c r="AN289" s="12" t="s">
        <v>811</v>
      </c>
      <c r="AO289" s="12" t="s">
        <v>57</v>
      </c>
      <c r="AP289" s="12" t="s">
        <v>77</v>
      </c>
      <c r="AQ289" s="12" t="s">
        <v>78</v>
      </c>
      <c r="AR289" s="12" t="s">
        <v>79</v>
      </c>
      <c r="AS289" s="12" t="s">
        <v>1459</v>
      </c>
      <c r="AT289" s="12" t="s">
        <v>80</v>
      </c>
      <c r="AU289" s="12" t="s">
        <v>861</v>
      </c>
      <c r="AV289" s="12">
        <v>1</v>
      </c>
      <c r="AW289" s="12">
        <v>1</v>
      </c>
      <c r="AX289" s="12" t="s">
        <v>81</v>
      </c>
      <c r="AY289" s="12" t="s">
        <v>82</v>
      </c>
      <c r="AZ289" s="12" t="s">
        <v>83</v>
      </c>
      <c r="BA289" s="12" t="s">
        <v>84</v>
      </c>
      <c r="BB289" s="12"/>
      <c r="BC289" s="27" t="s">
        <v>2055</v>
      </c>
      <c r="BD289" s="27" t="s">
        <v>2056</v>
      </c>
      <c r="BE289" s="12"/>
    </row>
    <row r="290" spans="1:57" x14ac:dyDescent="0.25">
      <c r="A290" s="12" t="s">
        <v>861</v>
      </c>
      <c r="B290" s="12" t="s">
        <v>57</v>
      </c>
      <c r="C290" s="25">
        <v>21932</v>
      </c>
      <c r="D290" s="12">
        <f t="shared" si="55"/>
        <v>17</v>
      </c>
      <c r="E290" s="23">
        <f t="shared" si="56"/>
        <v>17</v>
      </c>
      <c r="F290" s="12">
        <f t="shared" si="57"/>
        <v>1960</v>
      </c>
      <c r="G290" s="12">
        <f t="shared" si="58"/>
        <v>1</v>
      </c>
      <c r="H290" s="12">
        <f t="shared" si="59"/>
        <v>17</v>
      </c>
      <c r="I290" s="24">
        <f t="shared" si="63"/>
        <v>21932</v>
      </c>
      <c r="J290" s="12" t="s">
        <v>58</v>
      </c>
      <c r="K290" s="12" t="str">
        <f t="shared" si="60"/>
        <v>Passer montanus (Linnaeus, 1758)</v>
      </c>
      <c r="L290" s="12" t="str">
        <f t="shared" si="61"/>
        <v>Animalia|Chordata|Aves|Passeriformes|Passeridae|Passer</v>
      </c>
      <c r="M290" s="12" t="s">
        <v>59</v>
      </c>
      <c r="N290" s="12" t="s">
        <v>60</v>
      </c>
      <c r="O290" s="12" t="s">
        <v>61</v>
      </c>
      <c r="P290" s="12" t="s">
        <v>62</v>
      </c>
      <c r="Q290" s="12" t="s">
        <v>146</v>
      </c>
      <c r="R290" s="12" t="s">
        <v>147</v>
      </c>
      <c r="S290" s="12" t="s">
        <v>174</v>
      </c>
      <c r="T290" s="12" t="s">
        <v>66</v>
      </c>
      <c r="U290" s="12" t="s">
        <v>175</v>
      </c>
      <c r="V290" s="12" t="s">
        <v>1167</v>
      </c>
      <c r="W290" s="12" t="s">
        <v>68</v>
      </c>
      <c r="X290" s="12">
        <v>44.33014</v>
      </c>
      <c r="Y290" s="12">
        <v>7.4859239999999998</v>
      </c>
      <c r="Z290" s="14" t="s">
        <v>69</v>
      </c>
      <c r="AA290" s="12">
        <v>1929</v>
      </c>
      <c r="AB290" s="12" t="str">
        <f t="shared" si="64"/>
        <v>44.33014/7.485924</v>
      </c>
      <c r="AC290" s="13" t="s">
        <v>1473</v>
      </c>
      <c r="AD290" s="25">
        <v>46054</v>
      </c>
      <c r="AE290" s="14" t="s">
        <v>70</v>
      </c>
      <c r="AF290" s="14" t="s">
        <v>71</v>
      </c>
      <c r="AG290" s="14" t="s">
        <v>72</v>
      </c>
      <c r="AH290" s="12" t="str">
        <f t="shared" si="62"/>
        <v>Europa | Italy | Piedmont | Borgo San Dalmazzo</v>
      </c>
      <c r="AI290" s="12" t="s">
        <v>73</v>
      </c>
      <c r="AJ290" s="12"/>
      <c r="AK290" s="12" t="s">
        <v>74</v>
      </c>
      <c r="AL290" s="12" t="str">
        <f t="shared" si="65"/>
        <v>ITA</v>
      </c>
      <c r="AM290" s="12" t="s">
        <v>90</v>
      </c>
      <c r="AN290" s="12" t="s">
        <v>160</v>
      </c>
      <c r="AO290" s="12" t="s">
        <v>57</v>
      </c>
      <c r="AP290" s="12" t="s">
        <v>77</v>
      </c>
      <c r="AQ290" s="12" t="s">
        <v>78</v>
      </c>
      <c r="AR290" s="12" t="s">
        <v>79</v>
      </c>
      <c r="AS290" s="12" t="s">
        <v>1460</v>
      </c>
      <c r="AT290" s="12" t="s">
        <v>80</v>
      </c>
      <c r="AU290" s="12" t="s">
        <v>862</v>
      </c>
      <c r="AV290" s="12">
        <v>1</v>
      </c>
      <c r="AW290" s="12">
        <v>1</v>
      </c>
      <c r="AX290" s="12" t="s">
        <v>81</v>
      </c>
      <c r="AY290" s="12" t="s">
        <v>82</v>
      </c>
      <c r="AZ290" s="12" t="s">
        <v>83</v>
      </c>
      <c r="BA290" s="12" t="s">
        <v>84</v>
      </c>
      <c r="BB290" s="12"/>
      <c r="BC290" s="27" t="s">
        <v>2057</v>
      </c>
      <c r="BD290" s="27" t="s">
        <v>2058</v>
      </c>
      <c r="BE290" s="12"/>
    </row>
    <row r="291" spans="1:57" x14ac:dyDescent="0.25">
      <c r="A291" s="12" t="s">
        <v>862</v>
      </c>
      <c r="B291" s="12" t="s">
        <v>57</v>
      </c>
      <c r="C291" s="25">
        <v>23741</v>
      </c>
      <c r="D291" s="12">
        <f t="shared" si="55"/>
        <v>365</v>
      </c>
      <c r="E291" s="23">
        <f t="shared" si="56"/>
        <v>365</v>
      </c>
      <c r="F291" s="12">
        <f t="shared" si="57"/>
        <v>1964</v>
      </c>
      <c r="G291" s="12">
        <f t="shared" si="58"/>
        <v>12</v>
      </c>
      <c r="H291" s="12">
        <f t="shared" si="59"/>
        <v>30</v>
      </c>
      <c r="I291" s="24">
        <f t="shared" si="63"/>
        <v>23741</v>
      </c>
      <c r="J291" s="12" t="s">
        <v>58</v>
      </c>
      <c r="K291" s="12" t="str">
        <f t="shared" si="60"/>
        <v>Passer montanus (Linnaeus, 1758)</v>
      </c>
      <c r="L291" s="12" t="str">
        <f t="shared" si="61"/>
        <v>Animalia|Chordata|Aves|Passeriformes|Passeridae|Passer</v>
      </c>
      <c r="M291" s="12" t="s">
        <v>59</v>
      </c>
      <c r="N291" s="12" t="s">
        <v>60</v>
      </c>
      <c r="O291" s="12" t="s">
        <v>61</v>
      </c>
      <c r="P291" s="12" t="s">
        <v>62</v>
      </c>
      <c r="Q291" s="12" t="s">
        <v>146</v>
      </c>
      <c r="R291" s="12" t="s">
        <v>147</v>
      </c>
      <c r="S291" s="12" t="s">
        <v>174</v>
      </c>
      <c r="T291" s="12" t="s">
        <v>66</v>
      </c>
      <c r="U291" s="12" t="s">
        <v>175</v>
      </c>
      <c r="V291" s="12" t="s">
        <v>1165</v>
      </c>
      <c r="W291" s="12" t="s">
        <v>68</v>
      </c>
      <c r="X291" s="12">
        <v>44.362403999999998</v>
      </c>
      <c r="Y291" s="12">
        <v>6.9602209999999998</v>
      </c>
      <c r="Z291" s="14" t="s">
        <v>69</v>
      </c>
      <c r="AA291" s="12">
        <v>957</v>
      </c>
      <c r="AB291" s="12" t="str">
        <f t="shared" si="64"/>
        <v>44.362404/6.960221</v>
      </c>
      <c r="AC291" s="13" t="s">
        <v>1473</v>
      </c>
      <c r="AD291" s="25">
        <v>46054</v>
      </c>
      <c r="AE291" s="14" t="s">
        <v>70</v>
      </c>
      <c r="AF291" s="14" t="s">
        <v>71</v>
      </c>
      <c r="AG291" s="14" t="s">
        <v>72</v>
      </c>
      <c r="AH291" s="12" t="str">
        <f t="shared" si="62"/>
        <v>Europa | Italy | Piedmont | Ferrere da Bersezio</v>
      </c>
      <c r="AI291" s="12" t="s">
        <v>73</v>
      </c>
      <c r="AJ291" s="12"/>
      <c r="AK291" s="12" t="s">
        <v>74</v>
      </c>
      <c r="AL291" s="12" t="str">
        <f t="shared" si="65"/>
        <v>ITA</v>
      </c>
      <c r="AM291" s="12" t="s">
        <v>90</v>
      </c>
      <c r="AN291" s="12" t="s">
        <v>811</v>
      </c>
      <c r="AO291" s="12" t="s">
        <v>57</v>
      </c>
      <c r="AP291" s="12" t="s">
        <v>77</v>
      </c>
      <c r="AQ291" s="12" t="s">
        <v>78</v>
      </c>
      <c r="AR291" s="12" t="s">
        <v>79</v>
      </c>
      <c r="AS291" s="12" t="s">
        <v>1461</v>
      </c>
      <c r="AT291" s="12" t="s">
        <v>92</v>
      </c>
      <c r="AU291" s="12" t="s">
        <v>863</v>
      </c>
      <c r="AV291" s="12">
        <v>1</v>
      </c>
      <c r="AW291" s="12">
        <v>1</v>
      </c>
      <c r="AX291" s="12" t="s">
        <v>81</v>
      </c>
      <c r="AY291" s="12" t="s">
        <v>82</v>
      </c>
      <c r="AZ291" s="12" t="s">
        <v>83</v>
      </c>
      <c r="BA291" s="12" t="s">
        <v>84</v>
      </c>
      <c r="BB291" s="12"/>
      <c r="BC291" s="27" t="s">
        <v>2059</v>
      </c>
      <c r="BD291" s="27" t="s">
        <v>2060</v>
      </c>
      <c r="BE291" s="12"/>
    </row>
    <row r="292" spans="1:57" x14ac:dyDescent="0.25">
      <c r="A292" s="12" t="s">
        <v>863</v>
      </c>
      <c r="B292" s="12" t="s">
        <v>57</v>
      </c>
      <c r="C292" s="12">
        <v>1978</v>
      </c>
      <c r="D292" s="12"/>
      <c r="E292" s="23"/>
      <c r="F292" s="12">
        <f t="shared" si="57"/>
        <v>1978</v>
      </c>
      <c r="G292" s="12"/>
      <c r="H292" s="12"/>
      <c r="I292" s="24">
        <f t="shared" si="63"/>
        <v>1978</v>
      </c>
      <c r="J292" s="12" t="s">
        <v>145</v>
      </c>
      <c r="K292" s="12" t="str">
        <f t="shared" si="60"/>
        <v>Passer italiae (Viellot, 1817)</v>
      </c>
      <c r="L292" s="12" t="str">
        <f t="shared" si="61"/>
        <v>Animalia|Chordata|Aves|Passeriformes|Passeridae|Passer</v>
      </c>
      <c r="M292" s="12" t="s">
        <v>59</v>
      </c>
      <c r="N292" s="12" t="s">
        <v>60</v>
      </c>
      <c r="O292" s="12" t="s">
        <v>61</v>
      </c>
      <c r="P292" s="12" t="s">
        <v>62</v>
      </c>
      <c r="Q292" s="12" t="s">
        <v>146</v>
      </c>
      <c r="R292" s="12" t="s">
        <v>147</v>
      </c>
      <c r="S292" s="12" t="s">
        <v>148</v>
      </c>
      <c r="T292" s="12" t="s">
        <v>66</v>
      </c>
      <c r="U292" s="12" t="s">
        <v>149</v>
      </c>
      <c r="V292" s="12" t="s">
        <v>1167</v>
      </c>
      <c r="W292" s="12" t="s">
        <v>68</v>
      </c>
      <c r="X292" s="12">
        <v>41.9</v>
      </c>
      <c r="Y292" s="12">
        <v>12.483333</v>
      </c>
      <c r="Z292" s="14" t="s">
        <v>69</v>
      </c>
      <c r="AA292" s="12">
        <v>36625</v>
      </c>
      <c r="AB292" s="12" t="str">
        <f t="shared" si="64"/>
        <v>41.9/12.483333</v>
      </c>
      <c r="AC292" s="13" t="s">
        <v>1473</v>
      </c>
      <c r="AD292" s="25">
        <v>46054</v>
      </c>
      <c r="AE292" s="14" t="s">
        <v>70</v>
      </c>
      <c r="AF292" s="14" t="s">
        <v>71</v>
      </c>
      <c r="AG292" s="14" t="s">
        <v>72</v>
      </c>
      <c r="AH292" s="12" t="str">
        <f t="shared" si="62"/>
        <v>Europa | Italy | Lazio | Rome</v>
      </c>
      <c r="AI292" s="12" t="s">
        <v>73</v>
      </c>
      <c r="AJ292" s="12"/>
      <c r="AK292" s="12" t="s">
        <v>74</v>
      </c>
      <c r="AL292" s="12" t="str">
        <f t="shared" si="65"/>
        <v>ITA</v>
      </c>
      <c r="AM292" s="12" t="s">
        <v>75</v>
      </c>
      <c r="AN292" s="12" t="s">
        <v>153</v>
      </c>
      <c r="AO292" s="12" t="s">
        <v>57</v>
      </c>
      <c r="AP292" s="12" t="s">
        <v>77</v>
      </c>
      <c r="AQ292" s="12" t="s">
        <v>78</v>
      </c>
      <c r="AR292" s="12" t="s">
        <v>79</v>
      </c>
      <c r="AS292" s="12" t="s">
        <v>1462</v>
      </c>
      <c r="AT292" s="12" t="s">
        <v>92</v>
      </c>
      <c r="AU292" s="12" t="s">
        <v>864</v>
      </c>
      <c r="AV292" s="12">
        <v>1</v>
      </c>
      <c r="AW292" s="12">
        <v>1</v>
      </c>
      <c r="AX292" s="12" t="s">
        <v>81</v>
      </c>
      <c r="AY292" s="12" t="s">
        <v>82</v>
      </c>
      <c r="AZ292" s="12" t="s">
        <v>83</v>
      </c>
      <c r="BA292" s="12" t="s">
        <v>84</v>
      </c>
      <c r="BB292" s="12"/>
      <c r="BC292" s="27" t="s">
        <v>2061</v>
      </c>
      <c r="BD292" s="27" t="s">
        <v>2062</v>
      </c>
      <c r="BE292" s="12"/>
    </row>
    <row r="293" spans="1:57" x14ac:dyDescent="0.25">
      <c r="A293" s="12" t="s">
        <v>864</v>
      </c>
      <c r="B293" s="12" t="s">
        <v>57</v>
      </c>
      <c r="C293" s="25">
        <v>21016</v>
      </c>
      <c r="D293" s="12">
        <f t="shared" si="55"/>
        <v>196</v>
      </c>
      <c r="E293" s="23">
        <f t="shared" si="56"/>
        <v>196</v>
      </c>
      <c r="F293" s="12">
        <f t="shared" si="57"/>
        <v>1957</v>
      </c>
      <c r="G293" s="12">
        <f t="shared" si="58"/>
        <v>7</v>
      </c>
      <c r="H293" s="12">
        <f t="shared" si="59"/>
        <v>15</v>
      </c>
      <c r="I293" s="24">
        <f t="shared" si="63"/>
        <v>21016</v>
      </c>
      <c r="J293" s="12" t="s">
        <v>58</v>
      </c>
      <c r="K293" s="12" t="str">
        <f t="shared" si="60"/>
        <v>Passer domesticus (Linnaeus, 1758)</v>
      </c>
      <c r="L293" s="12" t="str">
        <f t="shared" si="61"/>
        <v>Animalia|Chordata|Aves|Passeriformes|Passeridae|Passer</v>
      </c>
      <c r="M293" s="12" t="s">
        <v>59</v>
      </c>
      <c r="N293" s="12" t="s">
        <v>60</v>
      </c>
      <c r="O293" s="12" t="s">
        <v>61</v>
      </c>
      <c r="P293" s="12" t="s">
        <v>62</v>
      </c>
      <c r="Q293" s="12" t="s">
        <v>146</v>
      </c>
      <c r="R293" s="12" t="s">
        <v>147</v>
      </c>
      <c r="S293" s="12" t="s">
        <v>866</v>
      </c>
      <c r="T293" s="12" t="s">
        <v>66</v>
      </c>
      <c r="U293" s="12" t="s">
        <v>867</v>
      </c>
      <c r="V293" s="12" t="s">
        <v>1165</v>
      </c>
      <c r="W293" s="12" t="s">
        <v>68</v>
      </c>
      <c r="X293" s="12">
        <v>44.33014</v>
      </c>
      <c r="Y293" s="12">
        <v>7.4859239999999998</v>
      </c>
      <c r="Z293" s="14" t="s">
        <v>69</v>
      </c>
      <c r="AA293" s="12">
        <v>1929</v>
      </c>
      <c r="AB293" s="12" t="str">
        <f t="shared" si="64"/>
        <v>44.33014/7.485924</v>
      </c>
      <c r="AC293" s="13" t="s">
        <v>1473</v>
      </c>
      <c r="AD293" s="25">
        <v>46054</v>
      </c>
      <c r="AE293" s="14" t="s">
        <v>70</v>
      </c>
      <c r="AF293" s="14" t="s">
        <v>71</v>
      </c>
      <c r="AG293" s="14" t="s">
        <v>72</v>
      </c>
      <c r="AH293" s="12" t="str">
        <f t="shared" si="62"/>
        <v>Europa | Italy | Piedmont | Borgo San Dalmazzo</v>
      </c>
      <c r="AI293" s="12" t="s">
        <v>73</v>
      </c>
      <c r="AJ293" s="12"/>
      <c r="AK293" s="12" t="s">
        <v>74</v>
      </c>
      <c r="AL293" s="12" t="str">
        <f t="shared" si="65"/>
        <v>ITA</v>
      </c>
      <c r="AM293" s="12" t="s">
        <v>90</v>
      </c>
      <c r="AN293" s="12" t="s">
        <v>160</v>
      </c>
      <c r="AO293" s="12" t="s">
        <v>57</v>
      </c>
      <c r="AP293" s="12" t="s">
        <v>77</v>
      </c>
      <c r="AQ293" s="12" t="s">
        <v>78</v>
      </c>
      <c r="AR293" s="12" t="s">
        <v>79</v>
      </c>
      <c r="AS293" s="12" t="s">
        <v>1463</v>
      </c>
      <c r="AT293" s="12" t="s">
        <v>80</v>
      </c>
      <c r="AU293" s="12" t="s">
        <v>865</v>
      </c>
      <c r="AV293" s="12">
        <v>1</v>
      </c>
      <c r="AW293" s="12">
        <v>1</v>
      </c>
      <c r="AX293" s="12" t="s">
        <v>81</v>
      </c>
      <c r="AY293" s="12" t="s">
        <v>82</v>
      </c>
      <c r="AZ293" s="12" t="s">
        <v>83</v>
      </c>
      <c r="BA293" s="12" t="s">
        <v>84</v>
      </c>
      <c r="BB293" s="12"/>
      <c r="BC293" s="27" t="s">
        <v>2063</v>
      </c>
      <c r="BD293" s="27" t="s">
        <v>2064</v>
      </c>
      <c r="BE293" s="12"/>
    </row>
    <row r="294" spans="1:57" x14ac:dyDescent="0.25">
      <c r="A294" s="12" t="s">
        <v>865</v>
      </c>
      <c r="B294" s="12" t="s">
        <v>57</v>
      </c>
      <c r="C294" s="25">
        <v>21703</v>
      </c>
      <c r="D294" s="12">
        <f t="shared" si="55"/>
        <v>153</v>
      </c>
      <c r="E294" s="23">
        <f t="shared" si="56"/>
        <v>153</v>
      </c>
      <c r="F294" s="12">
        <f t="shared" si="57"/>
        <v>1959</v>
      </c>
      <c r="G294" s="12">
        <f t="shared" si="58"/>
        <v>6</v>
      </c>
      <c r="H294" s="12">
        <f t="shared" si="59"/>
        <v>2</v>
      </c>
      <c r="I294" s="24">
        <f t="shared" si="63"/>
        <v>21703</v>
      </c>
      <c r="J294" s="12" t="s">
        <v>58</v>
      </c>
      <c r="K294" s="12" t="str">
        <f t="shared" si="60"/>
        <v>Passer domesticus (Linnaeus, 1758)</v>
      </c>
      <c r="L294" s="12" t="str">
        <f t="shared" si="61"/>
        <v>Animalia|Chordata|Aves|Passeriformes|Passeridae|Passer</v>
      </c>
      <c r="M294" s="12" t="s">
        <v>59</v>
      </c>
      <c r="N294" s="12" t="s">
        <v>60</v>
      </c>
      <c r="O294" s="12" t="s">
        <v>61</v>
      </c>
      <c r="P294" s="12" t="s">
        <v>62</v>
      </c>
      <c r="Q294" s="12" t="s">
        <v>146</v>
      </c>
      <c r="R294" s="12" t="s">
        <v>147</v>
      </c>
      <c r="S294" s="12" t="s">
        <v>866</v>
      </c>
      <c r="T294" s="12" t="s">
        <v>66</v>
      </c>
      <c r="U294" s="12" t="s">
        <v>867</v>
      </c>
      <c r="V294" s="12" t="s">
        <v>1165</v>
      </c>
      <c r="W294" s="12" t="s">
        <v>68</v>
      </c>
      <c r="X294" s="12">
        <v>44.573093999999998</v>
      </c>
      <c r="Y294" s="12">
        <v>7.9039140000000003</v>
      </c>
      <c r="Z294" s="14" t="s">
        <v>69</v>
      </c>
      <c r="AA294" s="12">
        <v>1327</v>
      </c>
      <c r="AB294" s="12" t="str">
        <f t="shared" si="64"/>
        <v>44.573094/7.903914</v>
      </c>
      <c r="AC294" s="13" t="s">
        <v>1473</v>
      </c>
      <c r="AD294" s="25">
        <v>46054</v>
      </c>
      <c r="AE294" s="14" t="s">
        <v>70</v>
      </c>
      <c r="AF294" s="14" t="s">
        <v>71</v>
      </c>
      <c r="AG294" s="14" t="s">
        <v>72</v>
      </c>
      <c r="AH294" s="12" t="str">
        <f t="shared" si="62"/>
        <v>Europa | Italy | Piedmont | Moriglione</v>
      </c>
      <c r="AI294" s="12" t="s">
        <v>73</v>
      </c>
      <c r="AJ294" s="12"/>
      <c r="AK294" s="12" t="s">
        <v>74</v>
      </c>
      <c r="AL294" s="12" t="str">
        <f t="shared" si="65"/>
        <v>ITA</v>
      </c>
      <c r="AM294" s="12" t="s">
        <v>90</v>
      </c>
      <c r="AN294" s="12" t="s">
        <v>869</v>
      </c>
      <c r="AO294" s="12" t="s">
        <v>57</v>
      </c>
      <c r="AP294" s="12" t="s">
        <v>77</v>
      </c>
      <c r="AQ294" s="12" t="s">
        <v>78</v>
      </c>
      <c r="AR294" s="12" t="s">
        <v>79</v>
      </c>
      <c r="AS294" s="12" t="s">
        <v>1464</v>
      </c>
      <c r="AT294" s="12" t="s">
        <v>80</v>
      </c>
      <c r="AU294" s="12" t="s">
        <v>868</v>
      </c>
      <c r="AV294" s="12">
        <v>1</v>
      </c>
      <c r="AW294" s="12">
        <v>1</v>
      </c>
      <c r="AX294" s="12" t="s">
        <v>81</v>
      </c>
      <c r="AY294" s="12" t="s">
        <v>82</v>
      </c>
      <c r="AZ294" s="12" t="s">
        <v>83</v>
      </c>
      <c r="BA294" s="12" t="s">
        <v>84</v>
      </c>
      <c r="BB294" s="12"/>
      <c r="BC294" s="27" t="s">
        <v>2065</v>
      </c>
      <c r="BD294" s="27" t="s">
        <v>2066</v>
      </c>
      <c r="BE294" s="12"/>
    </row>
    <row r="295" spans="1:57" x14ac:dyDescent="0.25">
      <c r="A295" s="12" t="s">
        <v>868</v>
      </c>
      <c r="B295" s="12" t="s">
        <v>57</v>
      </c>
      <c r="C295" s="25">
        <v>23740</v>
      </c>
      <c r="D295" s="12">
        <f t="shared" ref="D295:D298" si="70">IFERROR(C295-DATE(YEAR(C295),1,1)+1,"")</f>
        <v>364</v>
      </c>
      <c r="E295" s="23">
        <f t="shared" si="56"/>
        <v>364</v>
      </c>
      <c r="F295" s="12">
        <f t="shared" si="57"/>
        <v>1964</v>
      </c>
      <c r="G295" s="12">
        <f t="shared" si="58"/>
        <v>12</v>
      </c>
      <c r="H295" s="12">
        <f t="shared" si="59"/>
        <v>29</v>
      </c>
      <c r="I295" s="24">
        <f t="shared" si="63"/>
        <v>23740</v>
      </c>
      <c r="J295" s="12" t="s">
        <v>58</v>
      </c>
      <c r="K295" s="12" t="str">
        <f t="shared" si="60"/>
        <v>Emberiza citrinella (Linnaeus, 1758)</v>
      </c>
      <c r="L295" s="12" t="str">
        <f t="shared" si="61"/>
        <v>Animalia|Chordata|Aves|Pelecaniformes|Emberizidae|Emberiza</v>
      </c>
      <c r="M295" s="12" t="s">
        <v>59</v>
      </c>
      <c r="N295" s="12" t="s">
        <v>60</v>
      </c>
      <c r="O295" s="12" t="s">
        <v>61</v>
      </c>
      <c r="P295" s="12" t="s">
        <v>231</v>
      </c>
      <c r="Q295" s="12" t="s">
        <v>871</v>
      </c>
      <c r="R295" s="12" t="s">
        <v>993</v>
      </c>
      <c r="S295" s="12" t="s">
        <v>872</v>
      </c>
      <c r="T295" s="12" t="s">
        <v>66</v>
      </c>
      <c r="U295" s="12" t="s">
        <v>873</v>
      </c>
      <c r="V295" s="12" t="s">
        <v>1165</v>
      </c>
      <c r="W295" s="12" t="s">
        <v>68</v>
      </c>
      <c r="X295" s="12">
        <v>44.33014</v>
      </c>
      <c r="Y295" s="12">
        <v>7.4859239999999998</v>
      </c>
      <c r="Z295" s="14" t="s">
        <v>69</v>
      </c>
      <c r="AA295" s="12">
        <v>1929</v>
      </c>
      <c r="AB295" s="12" t="str">
        <f t="shared" si="64"/>
        <v>44.33014/7.485924</v>
      </c>
      <c r="AC295" s="13" t="s">
        <v>1473</v>
      </c>
      <c r="AD295" s="25">
        <v>46054</v>
      </c>
      <c r="AE295" s="14" t="s">
        <v>70</v>
      </c>
      <c r="AF295" s="14" t="s">
        <v>71</v>
      </c>
      <c r="AG295" s="14" t="s">
        <v>72</v>
      </c>
      <c r="AH295" s="12" t="str">
        <f t="shared" si="62"/>
        <v>Europa | Italy | Piedmont | Borgo San Dalmazzo</v>
      </c>
      <c r="AI295" s="12" t="s">
        <v>73</v>
      </c>
      <c r="AJ295" s="12"/>
      <c r="AK295" s="12" t="s">
        <v>74</v>
      </c>
      <c r="AL295" s="12" t="str">
        <f t="shared" si="65"/>
        <v>ITA</v>
      </c>
      <c r="AM295" s="12" t="s">
        <v>90</v>
      </c>
      <c r="AN295" s="12" t="s">
        <v>160</v>
      </c>
      <c r="AO295" s="12" t="s">
        <v>57</v>
      </c>
      <c r="AP295" s="12" t="s">
        <v>77</v>
      </c>
      <c r="AQ295" s="12" t="s">
        <v>78</v>
      </c>
      <c r="AR295" s="12" t="s">
        <v>79</v>
      </c>
      <c r="AS295" s="12" t="s">
        <v>1465</v>
      </c>
      <c r="AT295" s="12" t="s">
        <v>80</v>
      </c>
      <c r="AU295" s="12" t="s">
        <v>870</v>
      </c>
      <c r="AV295" s="12">
        <v>1</v>
      </c>
      <c r="AW295" s="12">
        <v>1</v>
      </c>
      <c r="AX295" s="12" t="s">
        <v>81</v>
      </c>
      <c r="AY295" s="12" t="s">
        <v>82</v>
      </c>
      <c r="AZ295" s="12" t="s">
        <v>83</v>
      </c>
      <c r="BA295" s="12" t="s">
        <v>84</v>
      </c>
      <c r="BB295" s="12"/>
      <c r="BC295" s="27" t="s">
        <v>2067</v>
      </c>
      <c r="BD295" s="27" t="s">
        <v>2068</v>
      </c>
      <c r="BE295" s="12"/>
    </row>
    <row r="296" spans="1:57" x14ac:dyDescent="0.25">
      <c r="A296" s="12" t="s">
        <v>870</v>
      </c>
      <c r="B296" s="12" t="s">
        <v>57</v>
      </c>
      <c r="C296" s="25">
        <v>23740</v>
      </c>
      <c r="D296" s="12">
        <f t="shared" si="70"/>
        <v>364</v>
      </c>
      <c r="E296" s="23">
        <f t="shared" si="56"/>
        <v>364</v>
      </c>
      <c r="F296" s="12">
        <f t="shared" si="57"/>
        <v>1964</v>
      </c>
      <c r="G296" s="12">
        <f t="shared" si="58"/>
        <v>12</v>
      </c>
      <c r="H296" s="12">
        <f t="shared" si="59"/>
        <v>29</v>
      </c>
      <c r="I296" s="24">
        <f t="shared" si="63"/>
        <v>23740</v>
      </c>
      <c r="J296" s="12" t="s">
        <v>58</v>
      </c>
      <c r="K296" s="12" t="str">
        <f t="shared" si="60"/>
        <v>Emberiza citrinella (Linnaeus, 1758)</v>
      </c>
      <c r="L296" s="12" t="str">
        <f t="shared" si="61"/>
        <v>Animalia|Chordata|Aves|Pelecaniformes|Emberizidae|Emberiza</v>
      </c>
      <c r="M296" s="12" t="s">
        <v>59</v>
      </c>
      <c r="N296" s="12" t="s">
        <v>60</v>
      </c>
      <c r="O296" s="12" t="s">
        <v>61</v>
      </c>
      <c r="P296" s="12" t="s">
        <v>231</v>
      </c>
      <c r="Q296" s="12" t="s">
        <v>871</v>
      </c>
      <c r="R296" s="12" t="s">
        <v>993</v>
      </c>
      <c r="S296" s="12" t="s">
        <v>872</v>
      </c>
      <c r="T296" s="12" t="s">
        <v>66</v>
      </c>
      <c r="U296" s="12" t="s">
        <v>873</v>
      </c>
      <c r="V296" s="12" t="s">
        <v>1165</v>
      </c>
      <c r="W296" s="12" t="s">
        <v>68</v>
      </c>
      <c r="X296" s="12">
        <v>44.327413</v>
      </c>
      <c r="Y296" s="12">
        <v>7.5456659999999998</v>
      </c>
      <c r="Z296" s="14" t="s">
        <v>69</v>
      </c>
      <c r="AA296" s="12">
        <v>1676</v>
      </c>
      <c r="AB296" s="12" t="str">
        <f t="shared" si="64"/>
        <v>44.327413/7.545666</v>
      </c>
      <c r="AC296" s="13" t="s">
        <v>1473</v>
      </c>
      <c r="AD296" s="25">
        <v>46054</v>
      </c>
      <c r="AE296" s="14" t="s">
        <v>70</v>
      </c>
      <c r="AF296" s="14" t="s">
        <v>71</v>
      </c>
      <c r="AG296" s="14" t="s">
        <v>72</v>
      </c>
      <c r="AH296" s="12" t="str">
        <f t="shared" si="62"/>
        <v>Europa | Italy | Piedmont | Boves</v>
      </c>
      <c r="AI296" s="12" t="s">
        <v>73</v>
      </c>
      <c r="AJ296" s="12"/>
      <c r="AK296" s="12" t="s">
        <v>74</v>
      </c>
      <c r="AL296" s="12" t="str">
        <f t="shared" si="65"/>
        <v>ITA</v>
      </c>
      <c r="AM296" s="12" t="s">
        <v>90</v>
      </c>
      <c r="AN296" s="12" t="s">
        <v>845</v>
      </c>
      <c r="AO296" s="12" t="s">
        <v>57</v>
      </c>
      <c r="AP296" s="12" t="s">
        <v>77</v>
      </c>
      <c r="AQ296" s="12" t="s">
        <v>78</v>
      </c>
      <c r="AR296" s="12" t="s">
        <v>79</v>
      </c>
      <c r="AS296" s="12" t="s">
        <v>1466</v>
      </c>
      <c r="AT296" s="12" t="s">
        <v>80</v>
      </c>
      <c r="AU296" s="12" t="s">
        <v>874</v>
      </c>
      <c r="AV296" s="12">
        <v>1</v>
      </c>
      <c r="AW296" s="12">
        <v>1</v>
      </c>
      <c r="AX296" s="12" t="s">
        <v>81</v>
      </c>
      <c r="AY296" s="12" t="s">
        <v>82</v>
      </c>
      <c r="AZ296" s="12" t="s">
        <v>83</v>
      </c>
      <c r="BA296" s="12" t="s">
        <v>84</v>
      </c>
      <c r="BB296" s="12"/>
      <c r="BC296" s="27" t="s">
        <v>2069</v>
      </c>
      <c r="BD296" s="27" t="s">
        <v>2070</v>
      </c>
      <c r="BE296" s="12"/>
    </row>
    <row r="297" spans="1:57" x14ac:dyDescent="0.25">
      <c r="A297" s="12" t="s">
        <v>874</v>
      </c>
      <c r="B297" s="12" t="s">
        <v>57</v>
      </c>
      <c r="C297" s="25">
        <v>21504</v>
      </c>
      <c r="D297" s="12">
        <f t="shared" si="70"/>
        <v>319</v>
      </c>
      <c r="E297" s="23">
        <f t="shared" si="56"/>
        <v>319</v>
      </c>
      <c r="F297" s="12">
        <f t="shared" si="57"/>
        <v>1958</v>
      </c>
      <c r="G297" s="12">
        <f t="shared" si="58"/>
        <v>11</v>
      </c>
      <c r="H297" s="12">
        <f t="shared" si="59"/>
        <v>15</v>
      </c>
      <c r="I297" s="24">
        <f t="shared" si="63"/>
        <v>21504</v>
      </c>
      <c r="J297" s="12" t="s">
        <v>58</v>
      </c>
      <c r="K297" s="12" t="str">
        <f t="shared" si="60"/>
        <v>Emberiza citrinella (Linnaeus, 1758)</v>
      </c>
      <c r="L297" s="12" t="str">
        <f t="shared" si="61"/>
        <v>Animalia|Chordata|Aves|Pelecaniformes|Emberizidae|Emberiza</v>
      </c>
      <c r="M297" s="12" t="s">
        <v>59</v>
      </c>
      <c r="N297" s="12" t="s">
        <v>60</v>
      </c>
      <c r="O297" s="12" t="s">
        <v>61</v>
      </c>
      <c r="P297" s="12" t="s">
        <v>231</v>
      </c>
      <c r="Q297" s="12" t="s">
        <v>871</v>
      </c>
      <c r="R297" s="12" t="s">
        <v>993</v>
      </c>
      <c r="S297" s="12" t="s">
        <v>872</v>
      </c>
      <c r="T297" s="12" t="s">
        <v>66</v>
      </c>
      <c r="U297" s="12" t="s">
        <v>873</v>
      </c>
      <c r="V297" s="12" t="s">
        <v>1168</v>
      </c>
      <c r="W297" s="12" t="s">
        <v>68</v>
      </c>
      <c r="X297" s="12">
        <v>45.416666999999997</v>
      </c>
      <c r="Y297" s="12">
        <v>11.95</v>
      </c>
      <c r="Z297" s="14" t="s">
        <v>69</v>
      </c>
      <c r="AA297" s="12">
        <v>1751</v>
      </c>
      <c r="AB297" s="12" t="str">
        <f t="shared" si="64"/>
        <v>45.416667/11.95</v>
      </c>
      <c r="AC297" s="13" t="s">
        <v>1473</v>
      </c>
      <c r="AD297" s="25">
        <v>46054</v>
      </c>
      <c r="AE297" s="14" t="s">
        <v>70</v>
      </c>
      <c r="AF297" s="14" t="s">
        <v>71</v>
      </c>
      <c r="AG297" s="14" t="s">
        <v>72</v>
      </c>
      <c r="AH297" s="12" t="str">
        <f t="shared" si="62"/>
        <v>Europa | Italy | Veneto | Noventa Padovana</v>
      </c>
      <c r="AI297" s="12" t="s">
        <v>73</v>
      </c>
      <c r="AJ297" s="12"/>
      <c r="AK297" s="12" t="s">
        <v>74</v>
      </c>
      <c r="AL297" s="12" t="str">
        <f t="shared" si="65"/>
        <v>ITA</v>
      </c>
      <c r="AM297" s="12" t="s">
        <v>150</v>
      </c>
      <c r="AN297" s="12" t="s">
        <v>828</v>
      </c>
      <c r="AO297" s="12" t="s">
        <v>57</v>
      </c>
      <c r="AP297" s="12" t="s">
        <v>77</v>
      </c>
      <c r="AQ297" s="12" t="s">
        <v>78</v>
      </c>
      <c r="AR297" s="12" t="s">
        <v>79</v>
      </c>
      <c r="AS297" s="12" t="s">
        <v>1467</v>
      </c>
      <c r="AT297" s="12" t="s">
        <v>92</v>
      </c>
      <c r="AU297" s="12" t="s">
        <v>875</v>
      </c>
      <c r="AV297" s="12">
        <v>1</v>
      </c>
      <c r="AW297" s="12">
        <v>1</v>
      </c>
      <c r="AX297" s="12" t="s">
        <v>81</v>
      </c>
      <c r="AY297" s="12" t="s">
        <v>82</v>
      </c>
      <c r="AZ297" s="12" t="s">
        <v>83</v>
      </c>
      <c r="BA297" s="12" t="s">
        <v>84</v>
      </c>
      <c r="BB297" s="12"/>
      <c r="BC297" s="27" t="s">
        <v>2071</v>
      </c>
      <c r="BD297" s="27" t="s">
        <v>2072</v>
      </c>
      <c r="BE297" s="12"/>
    </row>
    <row r="298" spans="1:57" x14ac:dyDescent="0.25">
      <c r="A298" s="12" t="s">
        <v>875</v>
      </c>
      <c r="B298" s="12" t="s">
        <v>57</v>
      </c>
      <c r="C298" s="25">
        <v>21671</v>
      </c>
      <c r="D298" s="12">
        <f t="shared" si="70"/>
        <v>121</v>
      </c>
      <c r="E298" s="23">
        <f t="shared" si="56"/>
        <v>121</v>
      </c>
      <c r="F298" s="12">
        <f t="shared" si="57"/>
        <v>1959</v>
      </c>
      <c r="G298" s="12">
        <f t="shared" si="58"/>
        <v>5</v>
      </c>
      <c r="H298" s="12">
        <f t="shared" si="59"/>
        <v>1</v>
      </c>
      <c r="I298" s="24">
        <f t="shared" si="63"/>
        <v>21671</v>
      </c>
      <c r="J298" s="12" t="s">
        <v>58</v>
      </c>
      <c r="K298" s="12" t="str">
        <f t="shared" si="60"/>
        <v>Emberiza calandra (Linnaeus, 1758)</v>
      </c>
      <c r="L298" s="12" t="str">
        <f t="shared" si="61"/>
        <v>Animalia|Chordata|Aves|Pelecaniformes|Emberizidae|Emberiza</v>
      </c>
      <c r="M298" s="12" t="s">
        <v>59</v>
      </c>
      <c r="N298" s="12" t="s">
        <v>60</v>
      </c>
      <c r="O298" s="12" t="s">
        <v>61</v>
      </c>
      <c r="P298" s="12" t="s">
        <v>231</v>
      </c>
      <c r="Q298" s="12" t="s">
        <v>871</v>
      </c>
      <c r="R298" s="12" t="s">
        <v>993</v>
      </c>
      <c r="S298" s="12" t="s">
        <v>877</v>
      </c>
      <c r="T298" s="12" t="s">
        <v>66</v>
      </c>
      <c r="U298" s="12" t="s">
        <v>878</v>
      </c>
      <c r="V298" s="12" t="s">
        <v>1168</v>
      </c>
      <c r="W298" s="12" t="s">
        <v>68</v>
      </c>
      <c r="X298" s="12">
        <v>40.970559000000002</v>
      </c>
      <c r="Y298" s="12">
        <v>13.054792000000001</v>
      </c>
      <c r="Z298" s="14" t="s">
        <v>69</v>
      </c>
      <c r="AA298" s="12">
        <v>834</v>
      </c>
      <c r="AB298" s="12" t="str">
        <f t="shared" si="64"/>
        <v>40.970559/13.054792</v>
      </c>
      <c r="AC298" s="13" t="s">
        <v>1473</v>
      </c>
      <c r="AD298" s="25">
        <v>46054</v>
      </c>
      <c r="AE298" s="14" t="s">
        <v>70</v>
      </c>
      <c r="AF298" s="14" t="s">
        <v>71</v>
      </c>
      <c r="AG298" s="14" t="s">
        <v>72</v>
      </c>
      <c r="AH298" s="12" t="str">
        <f t="shared" si="62"/>
        <v>Europa | Zannone | Italy | Lazio | Zannone Island</v>
      </c>
      <c r="AI298" s="12" t="s">
        <v>73</v>
      </c>
      <c r="AJ298" s="12" t="s">
        <v>1486</v>
      </c>
      <c r="AK298" s="12" t="s">
        <v>74</v>
      </c>
      <c r="AL298" s="12" t="str">
        <f t="shared" si="65"/>
        <v>ITA</v>
      </c>
      <c r="AM298" s="12" t="s">
        <v>75</v>
      </c>
      <c r="AN298" s="12" t="s">
        <v>458</v>
      </c>
      <c r="AO298" s="12" t="s">
        <v>57</v>
      </c>
      <c r="AP298" s="12" t="s">
        <v>77</v>
      </c>
      <c r="AQ298" s="12" t="s">
        <v>78</v>
      </c>
      <c r="AR298" s="12" t="s">
        <v>79</v>
      </c>
      <c r="AS298" s="12" t="s">
        <v>1468</v>
      </c>
      <c r="AT298" s="12" t="s">
        <v>80</v>
      </c>
      <c r="AU298" s="12" t="s">
        <v>876</v>
      </c>
      <c r="AV298" s="12">
        <v>1</v>
      </c>
      <c r="AW298" s="12">
        <v>1</v>
      </c>
      <c r="AX298" s="12" t="s">
        <v>81</v>
      </c>
      <c r="AY298" s="12" t="s">
        <v>82</v>
      </c>
      <c r="AZ298" s="12" t="s">
        <v>83</v>
      </c>
      <c r="BA298" s="12" t="s">
        <v>84</v>
      </c>
      <c r="BB298" s="12"/>
      <c r="BC298" s="27" t="s">
        <v>2073</v>
      </c>
      <c r="BD298" s="27" t="s">
        <v>2074</v>
      </c>
      <c r="BE298" s="12"/>
    </row>
  </sheetData>
  <phoneticPr fontId="8" type="noConversion"/>
  <hyperlinks>
    <hyperlink ref="BC2" r:id="rId1" xr:uid="{348D2C6A-504A-4139-A0C5-ADBE88ABCF32}"/>
    <hyperlink ref="BD2" r:id="rId2" xr:uid="{71893061-A40F-42A2-BFE6-82F1533E6111}"/>
    <hyperlink ref="BC3" r:id="rId3" xr:uid="{7507AA89-B2F1-4D35-A76E-9263BEA3D6AC}"/>
    <hyperlink ref="BD3" r:id="rId4" xr:uid="{A8B74A4B-F336-40B6-8233-6C2199C0F7D9}"/>
    <hyperlink ref="BC4" r:id="rId5" xr:uid="{A3B943DE-EEC2-4D0F-8274-D236844278EE}"/>
    <hyperlink ref="BD4" r:id="rId6" xr:uid="{845310F2-4B8C-438F-BA2C-31ED6BDE836D}"/>
    <hyperlink ref="BC5" r:id="rId7" xr:uid="{2332A1DB-1CE6-491B-BD36-DD7E24A35604}"/>
    <hyperlink ref="BD5" r:id="rId8" xr:uid="{3D303D0B-B7BF-4DC2-9BD0-62F94C901FEE}"/>
    <hyperlink ref="BC6" r:id="rId9" xr:uid="{92C9EA13-A71E-4639-A6A7-CC5DECFEE144}"/>
    <hyperlink ref="BD6" r:id="rId10" xr:uid="{AE2E6E2A-02E7-456B-93BF-92D6196517CA}"/>
    <hyperlink ref="BC7" r:id="rId11" xr:uid="{1060FBDA-0DE9-4080-8262-B417B6382191}"/>
    <hyperlink ref="BD7" r:id="rId12" xr:uid="{7E7363C4-F850-4D7C-83DC-E99F0C802B69}"/>
    <hyperlink ref="BC8" r:id="rId13" xr:uid="{7FEFAE0A-AEF2-4B31-BC71-81C3C9A23407}"/>
    <hyperlink ref="BD8" r:id="rId14" xr:uid="{5CB6C6B7-5D07-4483-951D-2BA3376E6BC9}"/>
    <hyperlink ref="BC9" r:id="rId15" xr:uid="{79E824C1-64D8-4DFF-8DF9-1E94F9A1765B}"/>
    <hyperlink ref="BD9" r:id="rId16" xr:uid="{289C59F5-656F-450D-B3D0-3DC7CD95325B}"/>
    <hyperlink ref="BC10" r:id="rId17" xr:uid="{3F371B5B-89DC-44CA-A842-6FFC7D68E2E5}"/>
    <hyperlink ref="BD10" r:id="rId18" xr:uid="{E165A667-7E84-484B-A14D-5558406E0968}"/>
    <hyperlink ref="BC11" r:id="rId19" xr:uid="{5B6D2C74-3F4A-470E-8333-DBEC11DA906B}"/>
    <hyperlink ref="BD11" r:id="rId20" xr:uid="{99F191EC-F0F4-4966-ACDC-B721A16E0F37}"/>
    <hyperlink ref="BC12" r:id="rId21" xr:uid="{740290DD-B18E-4212-B7AE-4E68D7B385EF}"/>
    <hyperlink ref="BD12" r:id="rId22" xr:uid="{C73066CA-A8EE-4445-8237-718B8E8776F0}"/>
    <hyperlink ref="BC13" r:id="rId23" xr:uid="{5034AF7A-902C-4396-860F-43E014E793CC}"/>
    <hyperlink ref="BD13" r:id="rId24" xr:uid="{2EE20A96-5749-45C6-BAD3-6896BD48B15D}"/>
    <hyperlink ref="BC14" r:id="rId25" xr:uid="{5C77BB2B-27C1-4018-A257-979710DDA0B9}"/>
    <hyperlink ref="BD14" r:id="rId26" xr:uid="{B8861191-16E6-49CB-A75C-E8ED21E69842}"/>
    <hyperlink ref="BC15" r:id="rId27" xr:uid="{B2DC88E1-45D2-4538-8391-3F7AB99DE70D}"/>
    <hyperlink ref="BD15" r:id="rId28" xr:uid="{6DB0AFD6-D318-4662-9EB1-3D9EDF64FB2D}"/>
    <hyperlink ref="BC16" r:id="rId29" xr:uid="{56FA0CD0-D299-41A2-8980-45CFF3187BDA}"/>
    <hyperlink ref="BD16" r:id="rId30" xr:uid="{4CFBCCF1-07ED-415A-B2EC-A98C2E0CFBD9}"/>
    <hyperlink ref="BC17" r:id="rId31" xr:uid="{A4D92C6C-747E-4D8A-9E02-2058F3510E5A}"/>
    <hyperlink ref="BD17" r:id="rId32" xr:uid="{2D97D264-E6DE-4466-A255-B4EEEF2066AB}"/>
    <hyperlink ref="BC18" r:id="rId33" xr:uid="{18153DC1-72EA-4BD4-8EFA-C6193EA0AF2B}"/>
    <hyperlink ref="BD18" r:id="rId34" xr:uid="{402E8A8B-768D-4578-8D81-5C69BF35610C}"/>
    <hyperlink ref="BC19" r:id="rId35" xr:uid="{597D541F-2013-47E4-829B-9186195E9A0A}"/>
    <hyperlink ref="BD19" r:id="rId36" xr:uid="{69515CD9-1342-47EC-9F12-3E017CA6C9B9}"/>
    <hyperlink ref="BC20" r:id="rId37" xr:uid="{9E938B20-8F94-4CF1-9808-7A6D43DCF3E1}"/>
    <hyperlink ref="BD20" r:id="rId38" xr:uid="{C5CDB607-BA92-4D67-AD18-36B4854C90E4}"/>
    <hyperlink ref="BC21" r:id="rId39" xr:uid="{5DD9ED4F-6FE4-40FE-836E-F2B7624AB1D8}"/>
    <hyperlink ref="BD21" r:id="rId40" xr:uid="{A7CD2252-39E6-42B6-B195-375558A7D416}"/>
    <hyperlink ref="BC22" r:id="rId41" xr:uid="{778C19CF-36E2-4D41-A572-3B4418806BF0}"/>
    <hyperlink ref="BD22" r:id="rId42" xr:uid="{28F37FB4-6279-4A49-BE44-BCEA3A20B80B}"/>
    <hyperlink ref="BC23" r:id="rId43" xr:uid="{9F3AF82B-FFF7-45E7-BA27-5F6A9848C826}"/>
    <hyperlink ref="BD23" r:id="rId44" xr:uid="{8FBC4508-6D08-4898-B1BE-6BBA282ED65B}"/>
    <hyperlink ref="BC24" r:id="rId45" xr:uid="{49B49137-5E23-4C10-A97F-F6FDB07CD4AE}"/>
    <hyperlink ref="BD24" r:id="rId46" xr:uid="{39510BD6-A465-415C-B797-D59362E0AA7E}"/>
    <hyperlink ref="BC25" r:id="rId47" xr:uid="{25B258AE-4D67-4C79-A68A-F851569C7A34}"/>
    <hyperlink ref="BD25" r:id="rId48" xr:uid="{F6146019-E3D2-43C3-99A7-9BA225C01F64}"/>
    <hyperlink ref="BC26" r:id="rId49" xr:uid="{10F8D0D2-857E-4B60-BA03-94E1A86FD097}"/>
    <hyperlink ref="BD26" r:id="rId50" xr:uid="{599CE539-35DD-4077-80F7-54EF6EB368D5}"/>
    <hyperlink ref="BC27" r:id="rId51" xr:uid="{6FDF1068-1DB7-4EF6-9A0D-EAD50211E603}"/>
    <hyperlink ref="BD27" r:id="rId52" xr:uid="{643472EC-EF0A-4ABE-B998-B44FB95FBFC4}"/>
    <hyperlink ref="BC28" r:id="rId53" xr:uid="{245562CA-5FA4-4678-A546-6B220ED1000C}"/>
    <hyperlink ref="BD28" r:id="rId54" xr:uid="{6BDB76D7-F570-4413-AB7E-E1F6B482CCA3}"/>
    <hyperlink ref="BC29" r:id="rId55" xr:uid="{FC8AF15A-3B65-47D2-8DAA-560AD4CAB04E}"/>
    <hyperlink ref="BD29" r:id="rId56" xr:uid="{2E2F8EEB-4EF7-4434-B6E7-AFFEC390BDC0}"/>
    <hyperlink ref="BC30" r:id="rId57" xr:uid="{89C18050-0BB7-420D-BD80-347726588E64}"/>
    <hyperlink ref="BD30" r:id="rId58" xr:uid="{F2E57650-D739-404F-9154-3473E74BD7F5}"/>
    <hyperlink ref="BC31" r:id="rId59" xr:uid="{BDC5DCE2-C065-4C6F-A813-2928E00753C2}"/>
    <hyperlink ref="BD31" r:id="rId60" xr:uid="{FF2E48BE-7208-479B-9433-71ABC021E76C}"/>
    <hyperlink ref="BC32" r:id="rId61" xr:uid="{4F126C5E-4A90-4FDA-9F47-9FB230D79068}"/>
    <hyperlink ref="BD32" r:id="rId62" xr:uid="{B65CC5D5-D2FB-425D-A361-2F1B54248777}"/>
    <hyperlink ref="BC33" r:id="rId63" xr:uid="{3B4A3A47-5D45-4FAE-A878-BEB29C738518}"/>
    <hyperlink ref="BD33" r:id="rId64" xr:uid="{E674FDAC-77F8-4745-B36D-088F72188BD0}"/>
    <hyperlink ref="BC34" r:id="rId65" xr:uid="{F042E3BC-C3FD-45DE-9E21-4B9D82939AFD}"/>
    <hyperlink ref="BD34" r:id="rId66" xr:uid="{7820125F-4C15-40A9-903B-3F7C3A2F82F2}"/>
    <hyperlink ref="BC35" r:id="rId67" xr:uid="{A6F90583-C813-4346-B528-6CC8D168548A}"/>
    <hyperlink ref="BD35" r:id="rId68" xr:uid="{D00AD730-C6D2-4B5F-BE4B-CC916E3389A9}"/>
    <hyperlink ref="BC36" r:id="rId69" xr:uid="{24764D34-126C-485F-B5D7-EF431B69C5C5}"/>
    <hyperlink ref="BD36" r:id="rId70" xr:uid="{77601A1E-06EC-4858-B19E-AC799C19F0A1}"/>
    <hyperlink ref="BC37" r:id="rId71" xr:uid="{F1A6B81E-42B2-4471-99F8-3343DF2A94A6}"/>
    <hyperlink ref="BD37" r:id="rId72" xr:uid="{ED599AAA-5C0D-4F21-94C3-F25775597470}"/>
    <hyperlink ref="BC38" r:id="rId73" xr:uid="{6A5A4814-6932-4E56-95FD-15C706BF4124}"/>
    <hyperlink ref="BD38" r:id="rId74" xr:uid="{0A5F30CC-DB40-41F4-8015-91F96D690B64}"/>
    <hyperlink ref="BC39" r:id="rId75" xr:uid="{29DD1940-C13D-4B7C-85DC-300F21EBDC51}"/>
    <hyperlink ref="BD39" r:id="rId76" xr:uid="{E9EF5D54-D424-48C4-87C6-1E7E2C2AE4EB}"/>
    <hyperlink ref="BC40" r:id="rId77" xr:uid="{28527AD5-0E7E-4C6E-A1E3-B8139E5E774F}"/>
    <hyperlink ref="BD40" r:id="rId78" xr:uid="{15451AF4-564B-484D-8D30-0464E0AA7129}"/>
    <hyperlink ref="BC41" r:id="rId79" xr:uid="{B398AD53-23A9-41E4-9C8C-E10747397C9C}"/>
    <hyperlink ref="BD41" r:id="rId80" xr:uid="{F0AEFBE4-DB46-41BF-B9F6-FD347B84B8F5}"/>
    <hyperlink ref="BC42" r:id="rId81" xr:uid="{E849C753-A9BE-4F1C-8849-B5D9D9141246}"/>
    <hyperlink ref="BD42" r:id="rId82" xr:uid="{D7DC7599-28AE-45F1-8B2F-DB654A5E8E34}"/>
    <hyperlink ref="BC43" r:id="rId83" xr:uid="{B9EF02E9-6C12-49D6-8FAA-164A8A815BD4}"/>
    <hyperlink ref="BD43" r:id="rId84" xr:uid="{E2BC0B6C-C5D6-4597-8CA2-4149A0349B1D}"/>
    <hyperlink ref="BC44" r:id="rId85" xr:uid="{5066F6DA-5EC9-4DDC-B3E1-E3CABEED471F}"/>
    <hyperlink ref="BD44" r:id="rId86" xr:uid="{CB97790F-0446-4D42-8228-51957D971369}"/>
    <hyperlink ref="BC45" r:id="rId87" xr:uid="{6F54830C-86F5-42C6-83EE-29786E2203EA}"/>
    <hyperlink ref="BD45" r:id="rId88" xr:uid="{9F5DEBD4-E9C4-4A40-8FE0-4F14578ACE89}"/>
    <hyperlink ref="BC46" r:id="rId89" xr:uid="{EE0B671C-8F16-4167-A90F-2ABF33347807}"/>
    <hyperlink ref="BD46" r:id="rId90" xr:uid="{33A32866-E348-4BC1-88B0-9F55EF41122F}"/>
    <hyperlink ref="BC47" r:id="rId91" xr:uid="{EA1CF9A7-00AF-45DF-BA4F-1B0D96CFE3CF}"/>
    <hyperlink ref="BD47" r:id="rId92" xr:uid="{A832EF01-5A6A-492C-9D06-DAB9B19B44CF}"/>
    <hyperlink ref="BC48" r:id="rId93" xr:uid="{B7232265-B9D5-47F8-8683-584B6FEBE2A0}"/>
    <hyperlink ref="BD48" r:id="rId94" xr:uid="{6790E420-7B82-4489-BD58-2D827EAAEBF3}"/>
    <hyperlink ref="BC49" r:id="rId95" xr:uid="{B771349F-1FFE-49B4-9246-C69C6D9C985F}"/>
    <hyperlink ref="BD49" r:id="rId96" xr:uid="{2EF47FC0-FDEB-4461-BF25-426D466E3110}"/>
    <hyperlink ref="BC50" r:id="rId97" xr:uid="{FE2A3359-AAB3-42C2-BD5D-A1FBEBE8D55A}"/>
    <hyperlink ref="BD50" r:id="rId98" xr:uid="{9AD8D9E5-1EFF-4388-BD7D-0D9B36A4B117}"/>
    <hyperlink ref="BC51" r:id="rId99" xr:uid="{19C21F11-5DCA-49B6-90CE-AA51E8F0B62F}"/>
    <hyperlink ref="BD51" r:id="rId100" xr:uid="{F554AF10-8C71-4AAE-BE24-8E10A632FF69}"/>
    <hyperlink ref="BC52" r:id="rId101" xr:uid="{3B1092F0-DA25-4311-A3D0-F0D6615F1B97}"/>
    <hyperlink ref="BD52" r:id="rId102" xr:uid="{CB7E03E8-365E-4E54-940A-DC6665FB4610}"/>
    <hyperlink ref="BC53" r:id="rId103" xr:uid="{0E57D033-5540-4A65-BD08-6FCEAE34D4C7}"/>
    <hyperlink ref="BD53" r:id="rId104" xr:uid="{6D569205-39A9-4958-9156-3A9E10BC8041}"/>
    <hyperlink ref="BC54" r:id="rId105" xr:uid="{63B6A2F8-2090-47CB-AA50-A336762F6A5C}"/>
    <hyperlink ref="BD54" r:id="rId106" xr:uid="{C4947476-947C-4191-8683-48A88FAA34EB}"/>
    <hyperlink ref="BC55" r:id="rId107" xr:uid="{C3FBEA04-F6BD-47AF-86C0-2246DB3D9E23}"/>
    <hyperlink ref="BD55" r:id="rId108" xr:uid="{91726B26-CEF0-4349-8535-6CB3EA380B5A}"/>
    <hyperlink ref="BC56" r:id="rId109" xr:uid="{FD74EFBF-B4E1-4D1F-8519-4446C21E86B1}"/>
    <hyperlink ref="BD56" r:id="rId110" xr:uid="{13605845-FD66-4347-B405-6516C0AF9BEA}"/>
    <hyperlink ref="BC57" r:id="rId111" xr:uid="{49F7CB6A-A95B-4701-8593-FD7849E6D93E}"/>
    <hyperlink ref="BD57" r:id="rId112" xr:uid="{4373028F-7A5E-419A-BD78-0C06CD67D179}"/>
    <hyperlink ref="BC58" r:id="rId113" xr:uid="{C6252584-133D-4BB3-975D-6E007242DAD5}"/>
    <hyperlink ref="BD58" r:id="rId114" xr:uid="{789D9F41-377E-4AA1-92E5-95B4DCBCA4E4}"/>
    <hyperlink ref="BC59" r:id="rId115" xr:uid="{761903B3-7116-4025-9987-76BA27A6C929}"/>
    <hyperlink ref="BD59" r:id="rId116" xr:uid="{655310A0-8270-4A3A-9A44-C30C50A75824}"/>
    <hyperlink ref="BC60" r:id="rId117" xr:uid="{D4D33B9F-8370-4A1F-B056-8FDB51328A0A}"/>
    <hyperlink ref="BD60" r:id="rId118" xr:uid="{B2BD52D9-A672-4AD9-A097-51B2B85074FD}"/>
    <hyperlink ref="BC61" r:id="rId119" xr:uid="{C96C14FF-C775-4389-AAA5-E9CC3674C5F4}"/>
    <hyperlink ref="BD61" r:id="rId120" xr:uid="{9A51F015-CF68-413C-8164-92868CE67526}"/>
    <hyperlink ref="BC62" r:id="rId121" xr:uid="{F4A3FF1A-9462-4322-B230-BCA2B9B370CF}"/>
    <hyperlink ref="BD62" r:id="rId122" xr:uid="{1B872373-6891-474A-8CEA-604694C039EF}"/>
    <hyperlink ref="BC63" r:id="rId123" xr:uid="{0587F367-E9D0-4AF4-A9E0-13AC4526F03A}"/>
    <hyperlink ref="BD63" r:id="rId124" xr:uid="{F97D5DC7-A7A0-4AE7-8E2D-EFD3269C782F}"/>
    <hyperlink ref="BC64" r:id="rId125" xr:uid="{6F7D5E40-AB4A-44A1-A3E0-D03B407FF9F8}"/>
    <hyperlink ref="BD64" r:id="rId126" xr:uid="{09B7A62D-0CDF-488E-841C-0F9F8DA7040B}"/>
    <hyperlink ref="BC65" r:id="rId127" xr:uid="{6F723745-4794-498A-A105-5C5215677E3B}"/>
    <hyperlink ref="BD65" r:id="rId128" xr:uid="{85B0CD4C-C895-4231-A20B-DE7E9A4AEB33}"/>
    <hyperlink ref="BC66" r:id="rId129" xr:uid="{3F4D27BF-F95A-4BE9-9C28-5BFBE467B14A}"/>
    <hyperlink ref="BD66" r:id="rId130" xr:uid="{C0A6AF8D-CB05-48F3-AE6A-65F8B04F0823}"/>
    <hyperlink ref="BC67" r:id="rId131" xr:uid="{0DE2487E-07C4-4100-876D-1FE2ADE9AF71}"/>
    <hyperlink ref="BD67" r:id="rId132" xr:uid="{6024DE1D-EC10-48B4-BC88-F5C821B4B2B1}"/>
    <hyperlink ref="BC68" r:id="rId133" xr:uid="{105D91E8-A6D5-40F0-8D18-DDA7BEAA605C}"/>
    <hyperlink ref="BD68" r:id="rId134" xr:uid="{2BAE22AF-53F0-4E0C-8E3B-16751700AD38}"/>
    <hyperlink ref="BC69" r:id="rId135" xr:uid="{FE609FB1-FE9C-4E4D-BFED-4148F9705E70}"/>
    <hyperlink ref="BD69" r:id="rId136" xr:uid="{6A9A8A4A-95DA-4691-B451-7A3AF58AD6BC}"/>
    <hyperlink ref="BC70" r:id="rId137" xr:uid="{E84F35D8-29F9-4366-BF37-DE5370F70CFE}"/>
    <hyperlink ref="BD70" r:id="rId138" xr:uid="{F9DC0718-4809-4FE1-8256-B4A92B9512AF}"/>
    <hyperlink ref="BC71" r:id="rId139" xr:uid="{BD64353A-B780-4E61-879F-D1E8F5B1D4D9}"/>
    <hyperlink ref="BD71" r:id="rId140" xr:uid="{24312780-D766-42B1-BF4B-57CCE405F451}"/>
    <hyperlink ref="BC72" r:id="rId141" xr:uid="{01A6A7C0-E300-441C-AF9D-367709899984}"/>
    <hyperlink ref="BD72" r:id="rId142" xr:uid="{965434E9-8BCE-4FEF-A9FC-00B1F3DD84FA}"/>
    <hyperlink ref="BC73" r:id="rId143" xr:uid="{5E62EB80-E73B-46E0-8A1B-9F992C902BD6}"/>
    <hyperlink ref="BD73" r:id="rId144" xr:uid="{2C8087B8-B4D0-486F-90C7-EC27ADB78531}"/>
    <hyperlink ref="BC74" r:id="rId145" xr:uid="{B79FCE94-4C0F-497A-9526-D7CB678F7136}"/>
    <hyperlink ref="BD74" r:id="rId146" xr:uid="{B7C894E7-B11A-4A30-86B2-2B4A1FA75078}"/>
    <hyperlink ref="BC75" r:id="rId147" xr:uid="{A522D229-D8FE-42BA-BAE8-79F596341BAB}"/>
    <hyperlink ref="BD75" r:id="rId148" xr:uid="{406B46D9-C2AD-4BAE-9C5C-2429E3A77579}"/>
    <hyperlink ref="BC76" r:id="rId149" xr:uid="{62881551-C625-4D64-8A98-41DBB5A9C9FB}"/>
    <hyperlink ref="BD76" r:id="rId150" xr:uid="{F00E1DFB-94A4-4D0C-B582-505E39B3730F}"/>
    <hyperlink ref="BC77" r:id="rId151" xr:uid="{03EF90C7-461B-4B8D-A89D-184F4D1ED5B0}"/>
    <hyperlink ref="BD77" r:id="rId152" xr:uid="{80CCBAB0-0810-4EEF-BF59-5C2F7CD40D8B}"/>
    <hyperlink ref="BC78" r:id="rId153" xr:uid="{842C806E-8714-4F40-B623-B4ED7360081D}"/>
    <hyperlink ref="BD78" r:id="rId154" xr:uid="{2629022F-33C7-4327-A3A5-123F74A469E0}"/>
    <hyperlink ref="BC79" r:id="rId155" xr:uid="{C66D05D4-58D3-4C8A-8687-1638B5AAA67A}"/>
    <hyperlink ref="BD79" r:id="rId156" xr:uid="{DBA6030A-8593-495E-B6B6-BEF249DB829F}"/>
    <hyperlink ref="BC80" r:id="rId157" xr:uid="{20080A9E-1D03-44F1-8629-12BC43460A88}"/>
    <hyperlink ref="BD80" r:id="rId158" xr:uid="{F3089E0A-B9E6-4C46-8A03-E9A3C13EBBC7}"/>
    <hyperlink ref="BC81" r:id="rId159" xr:uid="{CA3D4B53-7870-4303-9342-F6361B457DFF}"/>
    <hyperlink ref="BD81" r:id="rId160" xr:uid="{A49881BF-6B17-492B-BBAE-1CE6CB1BB030}"/>
    <hyperlink ref="BC82" r:id="rId161" xr:uid="{E74823C3-D27B-4BE3-8297-E1284BD5B240}"/>
    <hyperlink ref="BD82" r:id="rId162" xr:uid="{0FD5025F-964F-490B-A4D8-7B58557082C1}"/>
    <hyperlink ref="BC83" r:id="rId163" xr:uid="{284EF274-91EA-4F1A-942B-FACF96A1DF2C}"/>
    <hyperlink ref="BD83" r:id="rId164" xr:uid="{A1FE2875-51B3-4477-8D55-1B671C960307}"/>
    <hyperlink ref="BC84" r:id="rId165" xr:uid="{A47A61CA-5A3C-4E20-BD4E-75A5712FFD12}"/>
    <hyperlink ref="BD84" r:id="rId166" xr:uid="{719BB396-8BB3-482F-BCC3-11767166C016}"/>
    <hyperlink ref="BC85" r:id="rId167" xr:uid="{67572AF5-BF9A-40F7-8982-F38E92452F59}"/>
    <hyperlink ref="BD85" r:id="rId168" xr:uid="{DDB6464D-C4A4-49C1-B9F8-FBD048542ED5}"/>
    <hyperlink ref="BC86" r:id="rId169" xr:uid="{A0F62899-5B41-4F5D-8087-B0DB01152A64}"/>
    <hyperlink ref="BD86" r:id="rId170" xr:uid="{941F1D71-AEF1-49BD-B5D0-EB336216C1CD}"/>
    <hyperlink ref="BC87" r:id="rId171" xr:uid="{29B8B415-36CB-47EE-A345-1CF99CC2C5EF}"/>
    <hyperlink ref="BD87" r:id="rId172" xr:uid="{37B1D952-159B-40FA-81AC-A2A3F36FAD22}"/>
    <hyperlink ref="BC88" r:id="rId173" xr:uid="{4E65599B-DE9F-4350-B6FA-85C854F23FCA}"/>
    <hyperlink ref="BD88" r:id="rId174" xr:uid="{A5FEAC36-4512-453E-80F0-15A30111B7FD}"/>
    <hyperlink ref="BC89" r:id="rId175" xr:uid="{681503ED-A8B3-4B37-AD8F-9CAF901E5E01}"/>
    <hyperlink ref="BD89" r:id="rId176" xr:uid="{4459B62C-C267-4270-8665-D30B158270ED}"/>
    <hyperlink ref="BC90" r:id="rId177" xr:uid="{6C95CCC1-0E54-4E41-B900-785BD0BBBC7F}"/>
    <hyperlink ref="BD90" r:id="rId178" xr:uid="{5B9701EF-5582-4E4A-93C7-A358DF38009A}"/>
    <hyperlink ref="BC91" r:id="rId179" xr:uid="{9B444D52-A872-4780-BD3C-657E53F0B573}"/>
    <hyperlink ref="BD91" r:id="rId180" xr:uid="{03520014-F7BF-40A7-8D8A-FC9F175E16A0}"/>
    <hyperlink ref="BC92" r:id="rId181" xr:uid="{9D82FA98-8238-486E-A352-A3DEA4A94512}"/>
    <hyperlink ref="BD92" r:id="rId182" xr:uid="{E21D92B9-AF37-40EA-8784-8E95A3B6026A}"/>
    <hyperlink ref="BC93" r:id="rId183" xr:uid="{601D78D5-B4CA-45EC-A8C5-2D18A8580485}"/>
    <hyperlink ref="BD93" r:id="rId184" xr:uid="{603274C1-5F28-42E3-A73E-3B7DDDC7FAF0}"/>
    <hyperlink ref="BC94" r:id="rId185" xr:uid="{34EC56D2-4397-4DFB-A200-05CAFDFB4C40}"/>
    <hyperlink ref="BD94" r:id="rId186" xr:uid="{7CFF18F5-10CB-4302-B702-912FECBACA73}"/>
    <hyperlink ref="BC95" r:id="rId187" xr:uid="{AF2FDFEA-C505-4B2F-8FC6-109C831A6D8E}"/>
    <hyperlink ref="BD95" r:id="rId188" xr:uid="{1DFD62D0-5B91-4C48-881D-D6A9C36B073E}"/>
    <hyperlink ref="BC96" r:id="rId189" xr:uid="{E7DE6958-B054-41B3-8983-029A1DE949C2}"/>
    <hyperlink ref="BD96" r:id="rId190" xr:uid="{2A19928E-C681-4B54-B029-CC7714849EEA}"/>
    <hyperlink ref="BC97" r:id="rId191" xr:uid="{4B9034E2-772A-422A-89BC-9EF56FBE22D5}"/>
    <hyperlink ref="BD97" r:id="rId192" xr:uid="{16DEDF3E-9AB8-426F-8E2D-7C80CDC24455}"/>
    <hyperlink ref="BC98" r:id="rId193" xr:uid="{0A571F60-AB72-4175-9728-9033B5EEA282}"/>
    <hyperlink ref="BD98" r:id="rId194" xr:uid="{824A0877-3A2A-4093-AA4E-5ACA6532B369}"/>
    <hyperlink ref="BC99" r:id="rId195" xr:uid="{A1D2BDE4-C0CD-49FF-8950-63ABD0B29B5E}"/>
    <hyperlink ref="BD99" r:id="rId196" xr:uid="{7223D762-E1A1-4E42-9994-85773BA2143D}"/>
    <hyperlink ref="BC100" r:id="rId197" xr:uid="{F94B0A99-E81F-4336-92C3-0E3B10E19225}"/>
    <hyperlink ref="BD100" r:id="rId198" xr:uid="{E444C8EC-061C-479D-8B63-A764CC10E27A}"/>
    <hyperlink ref="BC101" r:id="rId199" xr:uid="{B26BC8FF-339D-44D7-8061-A60BF63D6D80}"/>
    <hyperlink ref="BD101" r:id="rId200" xr:uid="{B7A0A664-4F38-4C12-9176-A4DE584DB2BB}"/>
    <hyperlink ref="BC102" r:id="rId201" xr:uid="{D05BAD96-F327-400B-B8EA-8214FD50E9AE}"/>
    <hyperlink ref="BD102" r:id="rId202" xr:uid="{3AA1C25F-DD73-4448-9A68-C6DA41B50CC8}"/>
    <hyperlink ref="BC103" r:id="rId203" xr:uid="{8808C920-6FD2-4157-9EC6-28020CC6A49B}"/>
    <hyperlink ref="BD103" r:id="rId204" xr:uid="{07AC15CE-1E65-4DA2-9FE8-490DFC707BEA}"/>
    <hyperlink ref="BC104" r:id="rId205" xr:uid="{DA1A04EA-D697-46AE-BB2F-8D82C4B4C02D}"/>
    <hyperlink ref="BD104" r:id="rId206" xr:uid="{DEA60B42-7E36-4E25-BDBB-861A348DCF0E}"/>
    <hyperlink ref="BC105" r:id="rId207" xr:uid="{F389A77F-E867-4785-ACB1-FF0DC092FC01}"/>
    <hyperlink ref="BD105" r:id="rId208" xr:uid="{380E29BD-AC0E-4884-8EE3-8F3A7DBB9960}"/>
    <hyperlink ref="BC106" r:id="rId209" xr:uid="{DA93FE6A-3CFD-4C06-8AE7-9BBE0A89351A}"/>
    <hyperlink ref="BD106" r:id="rId210" xr:uid="{70FC7436-CC4B-42ED-BF41-884545F55CE9}"/>
    <hyperlink ref="BC107" r:id="rId211" xr:uid="{4E122E85-F235-4BE2-BDDA-FCA5BE0C32BF}"/>
    <hyperlink ref="BD107" r:id="rId212" xr:uid="{F022A613-3F78-48D3-B7AA-D70AF9C266E2}"/>
    <hyperlink ref="BC108" r:id="rId213" xr:uid="{5AB5BC9B-B08A-47AD-A32D-EAE5AF646832}"/>
    <hyperlink ref="BD108" r:id="rId214" xr:uid="{79BDBDD4-3932-423A-A5C7-BF0B7056526C}"/>
    <hyperlink ref="BC109" r:id="rId215" xr:uid="{E778DEA9-4BF7-4DC7-9118-E1BC8A162EDA}"/>
    <hyperlink ref="BD109" r:id="rId216" xr:uid="{D229C738-6F8A-4CF0-B581-D2F05BF0678E}"/>
    <hyperlink ref="BC110" r:id="rId217" xr:uid="{8EE637AF-4822-4ABB-B71C-616B778A833D}"/>
    <hyperlink ref="BD110" r:id="rId218" xr:uid="{E93202BC-A877-4E0F-B9E3-F1F4A195120C}"/>
    <hyperlink ref="BC111" r:id="rId219" xr:uid="{9E0A9F95-9B15-4C7A-8E7A-30C8F211289F}"/>
    <hyperlink ref="BD111" r:id="rId220" xr:uid="{737D0F0C-6F0B-4C59-B926-409F59A44913}"/>
    <hyperlink ref="BC112" r:id="rId221" xr:uid="{1F1AB51C-910A-43DF-802D-B7D26C0F8C0E}"/>
    <hyperlink ref="BD112" r:id="rId222" xr:uid="{5A51E314-FD21-4FEA-A23E-18C42D2B9707}"/>
    <hyperlink ref="BC113" r:id="rId223" xr:uid="{E3B1A75C-E8E1-4823-8186-6B64167764D0}"/>
    <hyperlink ref="BD113" r:id="rId224" xr:uid="{4C1D3B5C-A244-4E81-85CD-1A25BCB0705D}"/>
    <hyperlink ref="BC114" r:id="rId225" xr:uid="{752F90BF-BE44-4EF9-A385-ACA8A5BF1D04}"/>
    <hyperlink ref="BD114" r:id="rId226" xr:uid="{635FBF50-CD9C-428F-A625-AFF2FF93EE17}"/>
    <hyperlink ref="BC115" r:id="rId227" xr:uid="{54B6BC92-A158-4876-97DD-FAF5681A6A07}"/>
    <hyperlink ref="BD115" r:id="rId228" xr:uid="{61E86A09-000B-4573-8BBF-AA33624C2B9B}"/>
    <hyperlink ref="BC116" r:id="rId229" xr:uid="{02151039-A485-467C-9836-B925BD94A127}"/>
    <hyperlink ref="BD116" r:id="rId230" xr:uid="{8C4CAA97-39DD-4919-AAF6-C886ADB0A927}"/>
    <hyperlink ref="BC117" r:id="rId231" xr:uid="{326C27E1-7D8E-4473-9150-2E0CE3A982FC}"/>
    <hyperlink ref="BD117" r:id="rId232" xr:uid="{B4D5373E-0D5B-4E1C-9A97-00D0AC6FBF6A}"/>
    <hyperlink ref="BC118" r:id="rId233" xr:uid="{1F22B5B2-B822-401F-867D-815B220A7318}"/>
    <hyperlink ref="BD118" r:id="rId234" xr:uid="{384070DE-1C2A-48F7-8CAF-56ED0438B4E4}"/>
    <hyperlink ref="BC119" r:id="rId235" xr:uid="{21DE13AE-11A2-4BAF-B653-3C9D7CFCACAA}"/>
    <hyperlink ref="BD119" r:id="rId236" xr:uid="{FB0A7D24-6359-4FE1-A261-24A5564D72E8}"/>
    <hyperlink ref="BC120" r:id="rId237" xr:uid="{E23A8405-A621-40C1-9D0A-CB701192C153}"/>
    <hyperlink ref="BD120" r:id="rId238" xr:uid="{80ECA2B4-BFED-4C5F-A7BF-D490BF91191A}"/>
    <hyperlink ref="BC121" r:id="rId239" xr:uid="{90FAFFCC-CBD2-4FD1-A31B-A4B439D803CC}"/>
    <hyperlink ref="BD121" r:id="rId240" xr:uid="{8D48C53B-4680-4D74-845E-D0162BDD5405}"/>
    <hyperlink ref="BC122" r:id="rId241" xr:uid="{3FCD3A92-CF91-491A-92EC-C0F29DD1C6A5}"/>
    <hyperlink ref="BD122" r:id="rId242" xr:uid="{5E89B914-D40B-4B3A-8817-B84CA29E6C3E}"/>
    <hyperlink ref="BC123" r:id="rId243" xr:uid="{C6284BB4-BB4C-4B65-B197-98D79B00EBF5}"/>
    <hyperlink ref="BD123" r:id="rId244" xr:uid="{EAD34042-E085-4681-93D6-D619B280DA6C}"/>
    <hyperlink ref="BC124" r:id="rId245" xr:uid="{37C5F1D8-C7DA-4C7A-91B3-5213DDDC4D90}"/>
    <hyperlink ref="BD124" r:id="rId246" xr:uid="{B67CAD30-3CBD-41AD-8244-0588652FF69C}"/>
    <hyperlink ref="BC125" r:id="rId247" xr:uid="{5BD69CE6-BF48-4A8C-90D8-5088899AFAE0}"/>
    <hyperlink ref="BD125" r:id="rId248" xr:uid="{8887C404-6195-41A3-A0BA-F7979DEA9B23}"/>
    <hyperlink ref="BC126" r:id="rId249" xr:uid="{38F94768-53ED-49A2-BBA1-D8F1F80B04D9}"/>
    <hyperlink ref="BD126" r:id="rId250" xr:uid="{53D451E7-BD46-4F6C-863C-97F0C8D1CCA0}"/>
    <hyperlink ref="BC127" r:id="rId251" xr:uid="{B6BED97F-8190-448A-81CB-D4974D78030E}"/>
    <hyperlink ref="BD127" r:id="rId252" xr:uid="{6F618D67-D43D-42B5-9093-D3E5F03A1E7E}"/>
    <hyperlink ref="BC128" r:id="rId253" xr:uid="{8C49DEB8-118E-4753-8F45-91EBCBD0CF1E}"/>
    <hyperlink ref="BD128" r:id="rId254" xr:uid="{CF102702-B194-40DB-8834-6BEEC3D44561}"/>
    <hyperlink ref="BC129" r:id="rId255" xr:uid="{642998F9-8302-4D13-AD6B-22492375820E}"/>
    <hyperlink ref="BD129" r:id="rId256" xr:uid="{02140F4C-86DB-43C9-B0A9-4374EF692AF6}"/>
    <hyperlink ref="BC130" r:id="rId257" xr:uid="{24253688-A68D-4103-A50A-5DD674D4E73C}"/>
    <hyperlink ref="BD130" r:id="rId258" xr:uid="{EED20EB6-E7E6-48F6-BBA0-71A508AE0FC0}"/>
    <hyperlink ref="BC131" r:id="rId259" xr:uid="{DE00F1EB-6C33-41E1-84A0-6B423BF49DCE}"/>
    <hyperlink ref="BD131" r:id="rId260" xr:uid="{1C34C08D-FC97-4F04-9B4E-DD940F9DCCAA}"/>
    <hyperlink ref="BC132" r:id="rId261" xr:uid="{06BA5C7E-2FF3-4C47-A525-BD7B698715BB}"/>
    <hyperlink ref="BD132" r:id="rId262" xr:uid="{8E7C5624-5859-4A09-9C6C-9B45D63229C7}"/>
    <hyperlink ref="BC133" r:id="rId263" xr:uid="{2864C416-4420-4B2A-8C3C-82736A1A7C96}"/>
    <hyperlink ref="BD133" r:id="rId264" xr:uid="{A927754D-25FE-42B6-8890-8DB71B6DF36B}"/>
    <hyperlink ref="BC134" r:id="rId265" xr:uid="{6CD5A359-034C-4772-B780-277762107D37}"/>
    <hyperlink ref="BD134" r:id="rId266" xr:uid="{CDE7A090-5D4A-487B-BF1E-DD5250D4DBFF}"/>
    <hyperlink ref="BC135" r:id="rId267" xr:uid="{97FA5C7F-215A-4A9C-B0F6-AB5F4AD33733}"/>
    <hyperlink ref="BD135" r:id="rId268" xr:uid="{8F6E3732-EF04-4169-BACE-74B8E107CFD6}"/>
    <hyperlink ref="BC136" r:id="rId269" xr:uid="{375E3AB7-0FD8-4AAC-AEB2-3976CF441777}"/>
    <hyperlink ref="BD136" r:id="rId270" xr:uid="{A9AD9A28-7AAC-4642-9CD2-7DEBD5D2B5B3}"/>
    <hyperlink ref="BC137" r:id="rId271" xr:uid="{9F19E512-B555-48CA-98BB-D6FF49910FAC}"/>
    <hyperlink ref="BD137" r:id="rId272" xr:uid="{7009A6D2-0546-4EDC-883F-FC3E128C621B}"/>
    <hyperlink ref="BC138" r:id="rId273" xr:uid="{C86F962B-43A4-415C-9DAD-1CEA89C72FCA}"/>
    <hyperlink ref="BD138" r:id="rId274" xr:uid="{72E21C31-9933-45B6-8994-52F786E0FCFD}"/>
    <hyperlink ref="BC139" r:id="rId275" xr:uid="{8E613B11-9174-4FCD-83BA-56E5CA6AF556}"/>
    <hyperlink ref="BD139" r:id="rId276" xr:uid="{AC6D4EB0-919D-4CB2-8B4B-2F1F0227AFE2}"/>
    <hyperlink ref="BC140" r:id="rId277" xr:uid="{E1A189B7-BA4B-48CC-85CC-73923D272154}"/>
    <hyperlink ref="BD140" r:id="rId278" xr:uid="{DFE7A350-5BB1-4124-BBD0-B765B7A38495}"/>
    <hyperlink ref="BC141" r:id="rId279" xr:uid="{9F67B1B8-5124-453F-99BF-E31A985FB8DA}"/>
    <hyperlink ref="BD141" r:id="rId280" xr:uid="{DAEC94D1-DC11-4177-B963-681C82BE6F5E}"/>
    <hyperlink ref="BC142" r:id="rId281" xr:uid="{8F8ECD36-A453-47A0-AC94-85A59B3D7E81}"/>
    <hyperlink ref="BD142" r:id="rId282" xr:uid="{435B2701-ADFE-42F3-A6D5-B107D58D4C3D}"/>
    <hyperlink ref="BC143" r:id="rId283" xr:uid="{78740C8C-9536-46B8-8A59-656B39ABDFDB}"/>
    <hyperlink ref="BD143" r:id="rId284" xr:uid="{4E68D850-724E-4578-A2F4-C91317C0F6FA}"/>
    <hyperlink ref="BC144" r:id="rId285" xr:uid="{AD3FEBDB-80AB-4C14-B4D9-1455652AAB23}"/>
    <hyperlink ref="BD144" r:id="rId286" xr:uid="{15F3C173-08FC-4313-B935-CEBA2BD3B879}"/>
    <hyperlink ref="BC145" r:id="rId287" xr:uid="{4923428E-EF40-4EEA-B317-F0C07168A7A0}"/>
    <hyperlink ref="BD145" r:id="rId288" xr:uid="{1BDB6B5E-DA2A-4E66-BC34-84B95A3B4A52}"/>
    <hyperlink ref="BC146" r:id="rId289" xr:uid="{7783F09E-5E31-4326-A175-619053CAE233}"/>
    <hyperlink ref="BD146" r:id="rId290" xr:uid="{B54B33D4-D9FA-4A30-9FD1-7837A33E01CE}"/>
    <hyperlink ref="BC147" r:id="rId291" xr:uid="{F3145962-A43F-4867-9484-54544096D211}"/>
    <hyperlink ref="BD147" r:id="rId292" xr:uid="{87537791-1C03-46E4-86B9-5D3EE09FF030}"/>
    <hyperlink ref="BC148" r:id="rId293" xr:uid="{7E8B2B7B-6CF8-4579-B91E-3853B22A998E}"/>
    <hyperlink ref="BD148" r:id="rId294" xr:uid="{2EC48FF8-1139-4E62-98D0-EA3E8B84F6A0}"/>
    <hyperlink ref="BC149" r:id="rId295" xr:uid="{8BB8E23A-ED81-4269-A299-060A36604020}"/>
    <hyperlink ref="BD149" r:id="rId296" xr:uid="{45794C9E-E48F-4639-8BBC-57077735FF36}"/>
    <hyperlink ref="BC150" r:id="rId297" xr:uid="{264F3634-BE77-4842-A26E-75DD0A825F00}"/>
    <hyperlink ref="BD150" r:id="rId298" xr:uid="{EBB0E670-1A29-49A7-B254-C7A4DEABB46A}"/>
    <hyperlink ref="BC151" r:id="rId299" xr:uid="{9D3A85CB-FBC1-49EA-964D-9146D3754645}"/>
    <hyperlink ref="BD151" r:id="rId300" xr:uid="{E1001DCF-4CC7-4D30-BF22-432BFC9D109E}"/>
    <hyperlink ref="BC152" r:id="rId301" xr:uid="{351CD0EB-202C-4BD0-8F0E-DD65C6219858}"/>
    <hyperlink ref="BD152" r:id="rId302" xr:uid="{67AE1185-69D0-49F4-9E7F-04CE88293CAF}"/>
    <hyperlink ref="BC153" r:id="rId303" xr:uid="{1FCA88F5-65F8-412A-9A18-0E5BB087BDA9}"/>
    <hyperlink ref="BD153" r:id="rId304" xr:uid="{4CCB4487-E05B-4123-83EA-B4E329076CC4}"/>
    <hyperlink ref="BC154" r:id="rId305" xr:uid="{49207596-AC53-483D-970A-52C9087A8FA0}"/>
    <hyperlink ref="BD154" r:id="rId306" xr:uid="{FB5A864E-A51C-4DAC-8325-7EFE998ACE0D}"/>
    <hyperlink ref="BC155" r:id="rId307" xr:uid="{AC157949-012C-4F80-A50F-42AC5D58522B}"/>
    <hyperlink ref="BD155" r:id="rId308" xr:uid="{B7A325AB-D494-4AB5-8030-28FEBFDD10D3}"/>
    <hyperlink ref="BC156" r:id="rId309" xr:uid="{88ECC3C7-A930-444B-BB2D-B86AD98824F9}"/>
    <hyperlink ref="BD156" r:id="rId310" xr:uid="{6B63E49B-5042-45A3-AF9A-EFB03E16BDDC}"/>
    <hyperlink ref="BC157" r:id="rId311" xr:uid="{FAF0B11F-EA0D-4031-9BD7-E3A484794D90}"/>
    <hyperlink ref="BD157" r:id="rId312" xr:uid="{2BD90993-FB8F-4184-8D33-E481FAB23927}"/>
    <hyperlink ref="BC158" r:id="rId313" xr:uid="{4D439482-F3E6-4A3C-9366-B9F56AF5F1CB}"/>
    <hyperlink ref="BD158" r:id="rId314" xr:uid="{F0FB8F38-05A3-411C-9F67-CCFC1EAB2354}"/>
    <hyperlink ref="BC159" r:id="rId315" xr:uid="{88D0DFCC-09E2-4768-BF21-F3EF7C46BF28}"/>
    <hyperlink ref="BD159" r:id="rId316" xr:uid="{FB34AC9E-1292-4093-A345-2D66148E6733}"/>
    <hyperlink ref="BC160" r:id="rId317" xr:uid="{350D1B0D-BC86-4825-9442-DD0EC8AD546C}"/>
    <hyperlink ref="BD160" r:id="rId318" xr:uid="{6B3B0ABC-3DE3-4811-904C-D542DDD8FD92}"/>
    <hyperlink ref="BC161" r:id="rId319" xr:uid="{F8C46FCC-0B87-43F5-9704-A42839409ECE}"/>
    <hyperlink ref="BD161" r:id="rId320" xr:uid="{987B4D39-D882-49E9-919C-7F04F119CAF9}"/>
    <hyperlink ref="BC162" r:id="rId321" xr:uid="{F0A09361-A790-4593-8665-6D5A2BE87A84}"/>
    <hyperlink ref="BD162" r:id="rId322" xr:uid="{F909C737-E4A0-48F3-ABD2-227F575CE0B9}"/>
    <hyperlink ref="BC163" r:id="rId323" xr:uid="{B270A8BC-8D62-44BC-96C0-E5912B28655C}"/>
    <hyperlink ref="BD163" r:id="rId324" xr:uid="{52AAA37A-5556-40BA-8FA4-78672C429F12}"/>
    <hyperlink ref="BC164" r:id="rId325" xr:uid="{047D0D36-2439-4457-9995-7E2B258D2162}"/>
    <hyperlink ref="BD164" r:id="rId326" xr:uid="{F02F05EE-E3BC-4921-9427-D650A84422DC}"/>
    <hyperlink ref="BC165" r:id="rId327" xr:uid="{FC3D8A2A-34B5-4706-AA26-F3B7E08F9876}"/>
    <hyperlink ref="BD165" r:id="rId328" xr:uid="{5D5283C3-729D-44A7-8D04-4186D5D73DFC}"/>
    <hyperlink ref="BC166" r:id="rId329" xr:uid="{B2C0C3EA-D905-4F29-98C1-E8897C8925A4}"/>
    <hyperlink ref="BD166" r:id="rId330" xr:uid="{5238C27F-8E2B-46B5-9DE8-FC6EF4580773}"/>
    <hyperlink ref="BC167" r:id="rId331" xr:uid="{57EAF824-F229-4F49-A21A-4E3745D669DD}"/>
    <hyperlink ref="BD167" r:id="rId332" xr:uid="{5E33BE08-3CCC-4673-BA6B-88A7C5C31D7B}"/>
    <hyperlink ref="BC168" r:id="rId333" xr:uid="{71010012-D0D7-457A-9546-E165D4B50E55}"/>
    <hyperlink ref="BD168" r:id="rId334" xr:uid="{CA1F23AD-5B7A-4ACC-A71D-47F33D694787}"/>
    <hyperlink ref="BC169" r:id="rId335" xr:uid="{0C6D9022-C7AD-421E-86C4-77515F735D06}"/>
    <hyperlink ref="BD169" r:id="rId336" xr:uid="{4DAF0AFE-C4DA-405F-9836-03CDA3834438}"/>
    <hyperlink ref="BC170" r:id="rId337" xr:uid="{63729BCC-A107-409F-B788-2D1C2448C091}"/>
    <hyperlink ref="BD170" r:id="rId338" xr:uid="{3155B8DB-E1CD-423C-92C7-A94B67066950}"/>
    <hyperlink ref="BC171" r:id="rId339" xr:uid="{F807797D-FAC1-4704-AA79-275B5904144F}"/>
    <hyperlink ref="BD171" r:id="rId340" xr:uid="{8C11DAF5-9947-4CF2-A7C8-D5A2FE6D542A}"/>
    <hyperlink ref="BC172" r:id="rId341" xr:uid="{98285103-797A-4B40-8236-DE1A609685DB}"/>
    <hyperlink ref="BD172" r:id="rId342" xr:uid="{906FF720-DA08-4BEC-A1AA-BB97D2603470}"/>
    <hyperlink ref="BC173" r:id="rId343" xr:uid="{919AD359-0A89-4A0A-A957-8C1803BA5225}"/>
    <hyperlink ref="BD173" r:id="rId344" xr:uid="{B0ACE360-D94B-4972-932B-5FD197BC6E11}"/>
    <hyperlink ref="BC174" r:id="rId345" xr:uid="{0EBB75F5-6583-40D9-951F-758EEA1737E9}"/>
    <hyperlink ref="BD174" r:id="rId346" xr:uid="{33EF94B2-DD30-4BC5-9657-276FD70D0408}"/>
    <hyperlink ref="BC175" r:id="rId347" xr:uid="{C060DC7F-BBA0-4572-9882-DB6275D9D5BD}"/>
    <hyperlink ref="BD175" r:id="rId348" xr:uid="{3F76678E-FEEE-4431-810E-1AD7618634E3}"/>
    <hyperlink ref="BC176" r:id="rId349" xr:uid="{CC17A077-4C30-4ADA-B4B3-C604DDBC399A}"/>
    <hyperlink ref="BD176" r:id="rId350" xr:uid="{F8D86E26-9462-4101-8892-00A9D4077BBA}"/>
    <hyperlink ref="BC177" r:id="rId351" xr:uid="{DC2C49A9-E9A4-4141-AE31-18927A0C9BFB}"/>
    <hyperlink ref="BD177" r:id="rId352" xr:uid="{340B4157-575A-409D-B8FF-7B9072C03ED1}"/>
    <hyperlink ref="BC178" r:id="rId353" xr:uid="{335CEA78-CB06-42AE-A81A-C4659D3C17B0}"/>
    <hyperlink ref="BD178" r:id="rId354" xr:uid="{98758244-11E3-4645-9B4F-9F10B89050B3}"/>
    <hyperlink ref="BC179" r:id="rId355" xr:uid="{962A0EC0-4F49-4479-89F0-666F40D38452}"/>
    <hyperlink ref="BD179" r:id="rId356" xr:uid="{1CDF1F63-2C77-4956-843B-6FC38609E3EB}"/>
    <hyperlink ref="BC180" r:id="rId357" xr:uid="{EDB9337B-553D-4594-BB2F-92DA0DE080CF}"/>
    <hyperlink ref="BD180" r:id="rId358" xr:uid="{68E73FB0-0CEC-4EB9-95E3-2E0C4F6AC2FF}"/>
    <hyperlink ref="BC181" r:id="rId359" xr:uid="{8C63980C-D634-4E73-892F-56B3E704F280}"/>
    <hyperlink ref="BD181" r:id="rId360" xr:uid="{6C3BEB03-DB5D-45DF-BA70-3F1C47344D4D}"/>
    <hyperlink ref="BC182" r:id="rId361" xr:uid="{2E47A684-0013-492A-8762-1C60984FA3C9}"/>
    <hyperlink ref="BD182" r:id="rId362" xr:uid="{158638E0-E9ED-4D99-ADCC-32A563FE0F9C}"/>
    <hyperlink ref="BC183" r:id="rId363" xr:uid="{5DF31F26-7556-42ED-8439-43E0EA540E86}"/>
    <hyperlink ref="BD183" r:id="rId364" xr:uid="{A6328DF9-550A-4313-9ED2-1CFEEC5C10F6}"/>
    <hyperlink ref="BC184" r:id="rId365" xr:uid="{4CEE0FFD-2B39-4CB0-937C-2B42B5D0C9E4}"/>
    <hyperlink ref="BD184" r:id="rId366" xr:uid="{E400988D-05DC-4AA4-9938-CA2E519E735D}"/>
    <hyperlink ref="BC185" r:id="rId367" xr:uid="{2AED97BE-2E15-4E13-8FA9-F34857F2928A}"/>
    <hyperlink ref="BD185" r:id="rId368" xr:uid="{7EE0695A-B21B-4075-9BBF-58A2D082E9D6}"/>
    <hyperlink ref="BC186" r:id="rId369" xr:uid="{2D3169BF-124B-4687-A08C-3EDA8C824283}"/>
    <hyperlink ref="BD186" r:id="rId370" xr:uid="{ED4D6EF7-2099-4565-AF54-197C16287779}"/>
    <hyperlink ref="BC187" r:id="rId371" xr:uid="{5F0EBF22-2A54-4ED7-BD63-27BE7CB8E5A7}"/>
    <hyperlink ref="BD187" r:id="rId372" xr:uid="{B4733C50-D7B7-4A3E-B61B-2CC5CA64BF9F}"/>
    <hyperlink ref="BC188" r:id="rId373" xr:uid="{26D122D7-E8F2-499D-9BB4-DBE67746243E}"/>
    <hyperlink ref="BD188" r:id="rId374" xr:uid="{86859113-7548-4597-8D87-65F12CA8EFE8}"/>
    <hyperlink ref="BC189" r:id="rId375" xr:uid="{DE564764-5767-46E1-93F9-D3F47C33944C}"/>
    <hyperlink ref="BD189" r:id="rId376" xr:uid="{8336F3A8-9A62-49FF-A8CA-C5741F6D4C92}"/>
    <hyperlink ref="BC190" r:id="rId377" xr:uid="{2AB24A29-5208-4F31-9219-013124A20EBF}"/>
    <hyperlink ref="BD190" r:id="rId378" xr:uid="{7E71D46B-54D4-4823-9BFA-734865C4C804}"/>
    <hyperlink ref="BC191" r:id="rId379" xr:uid="{D0A4DE2B-CAD7-407C-9966-E59203736F1D}"/>
    <hyperlink ref="BD191" r:id="rId380" xr:uid="{4A98CAD6-83B1-4B38-911F-85E909D2BC47}"/>
    <hyperlink ref="BC192" r:id="rId381" xr:uid="{D8FA46FA-7B16-47B9-BD5E-1697582756A5}"/>
    <hyperlink ref="BD192" r:id="rId382" xr:uid="{6E89BDDC-5595-44BF-9776-2BCAADA3141B}"/>
    <hyperlink ref="BC193" r:id="rId383" xr:uid="{24E0A58B-4712-4CF8-B942-F0A120819422}"/>
    <hyperlink ref="BD193" r:id="rId384" xr:uid="{BC0EA6CD-00B7-4139-92EA-64E6027000A9}"/>
    <hyperlink ref="BC194" r:id="rId385" xr:uid="{3F3CD762-7BBB-4469-BDBA-DB4F793915C8}"/>
    <hyperlink ref="BD194" r:id="rId386" xr:uid="{BC9E1AE5-B8C0-4440-A45F-5EC8FFD17738}"/>
    <hyperlink ref="BC195" r:id="rId387" xr:uid="{14D72C49-01AE-4C2B-A889-0B631DDF86A0}"/>
    <hyperlink ref="BD195" r:id="rId388" xr:uid="{5F3CC063-7228-4375-8BB4-50D7A4508A98}"/>
    <hyperlink ref="BC196" r:id="rId389" xr:uid="{FAF15106-F57F-4A88-9986-D92827CDB5AD}"/>
    <hyperlink ref="BD196" r:id="rId390" xr:uid="{CD0A8E13-9945-4562-B0BA-904F48C47CEF}"/>
    <hyperlink ref="BC197" r:id="rId391" xr:uid="{AB7A84D5-5B7D-4349-8760-6E74FAE499AF}"/>
    <hyperlink ref="BD197" r:id="rId392" xr:uid="{58CA3A5B-C889-4BBD-A770-FA29138D0619}"/>
    <hyperlink ref="BC198" r:id="rId393" xr:uid="{1B59B568-ED36-4472-883F-7613CB8ED37A}"/>
    <hyperlink ref="BD198" r:id="rId394" xr:uid="{152F7C1A-AD94-4A90-929B-7D93B918A6DD}"/>
    <hyperlink ref="BC199" r:id="rId395" xr:uid="{3B26CF83-1809-4BE7-A038-2A084FA53AD8}"/>
    <hyperlink ref="BD199" r:id="rId396" xr:uid="{7571D442-B3E4-4CE9-9D19-1C6F073DAAE4}"/>
    <hyperlink ref="BC200" r:id="rId397" xr:uid="{9A48C05D-AB26-4ACC-88AE-FCB1F8B64F66}"/>
    <hyperlink ref="BD200" r:id="rId398" xr:uid="{FB0AC77D-C021-4346-B0AD-AAC9204CB0D6}"/>
    <hyperlink ref="BC201" r:id="rId399" xr:uid="{940A63FD-718A-45A1-9320-0CEF619DEDE8}"/>
    <hyperlink ref="BD201" r:id="rId400" xr:uid="{D9678920-1CC6-4CEE-8448-45D8A2678EED}"/>
    <hyperlink ref="BC202" r:id="rId401" xr:uid="{C7C1A36E-E712-48C8-8377-B3FE19BE5405}"/>
    <hyperlink ref="BD202" r:id="rId402" xr:uid="{4848B10F-60CD-4612-BA6A-4DE27792DF27}"/>
    <hyperlink ref="BC203" r:id="rId403" xr:uid="{99357A53-EFA1-4BFA-8D51-4F97D3384667}"/>
    <hyperlink ref="BD203" r:id="rId404" xr:uid="{62DBFFAF-F09F-4BBE-AC44-16C912E4B37B}"/>
    <hyperlink ref="BC204" r:id="rId405" xr:uid="{CF316456-8FBD-43F9-B021-A133C6C1169D}"/>
    <hyperlink ref="BD204" r:id="rId406" xr:uid="{F6C4BA94-475F-4594-81F3-DB18C0D4E21E}"/>
    <hyperlink ref="BC205" r:id="rId407" xr:uid="{46D111F6-50BC-40DB-A607-A3C96BFC6007}"/>
    <hyperlink ref="BD205" r:id="rId408" xr:uid="{E5277405-61D8-420E-8BB6-FEB3710DA91B}"/>
    <hyperlink ref="BC206" r:id="rId409" xr:uid="{1AA87F4F-2E91-477E-8866-A6BDF07ABA37}"/>
    <hyperlink ref="BD206" r:id="rId410" xr:uid="{CA1AECF3-4A18-42EA-9B05-688595EA3EB8}"/>
    <hyperlink ref="BC207" r:id="rId411" xr:uid="{4B00CAE3-3DD9-4E1F-A25C-512D97598520}"/>
    <hyperlink ref="BD207" r:id="rId412" xr:uid="{CF953C79-1543-4DEA-9D1A-D6882D661033}"/>
    <hyperlink ref="BC208" r:id="rId413" xr:uid="{B22DA69B-AEEB-4F75-BF7C-1EFFB09C30C1}"/>
    <hyperlink ref="BD208" r:id="rId414" xr:uid="{460DA7D4-1861-40D1-A1B1-A8B0361EEE3B}"/>
    <hyperlink ref="BC209" r:id="rId415" xr:uid="{D3B038B2-6940-4E42-A538-F7C9BF7E1ED3}"/>
    <hyperlink ref="BD209" r:id="rId416" xr:uid="{3C0AC5F1-00D9-4FD0-88DE-FCA7E6A92212}"/>
    <hyperlink ref="BC210" r:id="rId417" xr:uid="{3F6FD147-37D4-478B-822F-3E8B91AA1EF0}"/>
    <hyperlink ref="BD210" r:id="rId418" xr:uid="{87D0D77E-64BC-47DB-8EED-17AEF9AC8E21}"/>
    <hyperlink ref="BC211" r:id="rId419" xr:uid="{D10340E4-8726-40DE-BD73-1FA41732487D}"/>
    <hyperlink ref="BD211" r:id="rId420" xr:uid="{14D0E0D1-D25C-4663-B235-A44571A7BBB9}"/>
    <hyperlink ref="BC212" r:id="rId421" xr:uid="{6F337855-2294-4F07-BF5F-5F7F569201D2}"/>
    <hyperlink ref="BD212" r:id="rId422" xr:uid="{7510D14D-91A2-4AEA-B38E-1CAFBBB5A942}"/>
    <hyperlink ref="BC213" r:id="rId423" xr:uid="{43AA018A-3022-4674-9D7E-9017C70DB551}"/>
    <hyperlink ref="BD213" r:id="rId424" xr:uid="{996B3BF3-CC45-43C0-BB9B-12C6145D64E0}"/>
    <hyperlink ref="BC214" r:id="rId425" xr:uid="{3BFC779F-15B9-4B49-BEE3-863B36FBD74F}"/>
    <hyperlink ref="BD214" r:id="rId426" xr:uid="{53CCABAF-C364-4028-8DF5-223BB5A5052A}"/>
    <hyperlink ref="BC215" r:id="rId427" xr:uid="{65713595-CE22-444C-83DD-CDA1C7C4B705}"/>
    <hyperlink ref="BD215" r:id="rId428" xr:uid="{70B97977-FD14-4DC8-AE16-97342DAAD920}"/>
    <hyperlink ref="BC216" r:id="rId429" xr:uid="{7A208AFB-E97D-4CF2-AEA8-94FC70D8B6C5}"/>
    <hyperlink ref="BD216" r:id="rId430" xr:uid="{5C5A4D82-8B6E-471D-B417-3971E7DFD999}"/>
    <hyperlink ref="BC217" r:id="rId431" xr:uid="{4D621E2B-1BFE-4F28-87FB-12E61249F334}"/>
    <hyperlink ref="BD217" r:id="rId432" xr:uid="{924A54EA-E601-436A-A92C-F9204B01E1BE}"/>
    <hyperlink ref="BC218" r:id="rId433" xr:uid="{E8C8A033-824F-48D0-AEB0-9B2BBB251396}"/>
    <hyperlink ref="BD218" r:id="rId434" xr:uid="{63F3F8E2-D91D-49D9-B3E0-A886EAE0F2E6}"/>
    <hyperlink ref="BC219" r:id="rId435" xr:uid="{62B75B21-59E4-4FC2-B353-6EF13FA9956D}"/>
    <hyperlink ref="BD219" r:id="rId436" xr:uid="{AB282C4A-11C5-45E9-B53F-A55D101D21DE}"/>
    <hyperlink ref="BC220" r:id="rId437" xr:uid="{FCB7CC8B-3D9A-4EEA-BD2E-D48D6D4B69B3}"/>
    <hyperlink ref="BD220" r:id="rId438" xr:uid="{5A0F21F9-9E95-4874-A6DB-B2DB28A27807}"/>
    <hyperlink ref="BC221" r:id="rId439" xr:uid="{35E15D0B-A0F0-4C0B-9680-AD29BB3C2CAA}"/>
    <hyperlink ref="BD221" r:id="rId440" xr:uid="{4A5DDDC0-5247-442C-81FE-5D458523AE74}"/>
    <hyperlink ref="BC222" r:id="rId441" xr:uid="{5010D416-177D-4847-9454-8FC252F693DB}"/>
    <hyperlink ref="BD222" r:id="rId442" xr:uid="{106D8B99-F01A-49BA-A691-CECCAF31AE27}"/>
    <hyperlink ref="BC223" r:id="rId443" xr:uid="{6605C14E-EA00-4C21-9C2D-60FF204177E8}"/>
    <hyperlink ref="BD223" r:id="rId444" xr:uid="{CC48FDC0-F6EB-48D1-9148-C2663D7E3227}"/>
    <hyperlink ref="BC224" r:id="rId445" xr:uid="{2019D43F-0D32-4C90-A741-DFB03B25F178}"/>
    <hyperlink ref="BD224" r:id="rId446" xr:uid="{230DEDC3-A377-4CCA-BEBE-03C96AFC4823}"/>
    <hyperlink ref="BC225" r:id="rId447" xr:uid="{B867C9F4-57B5-42F5-A609-CDFB3C739DBC}"/>
    <hyperlink ref="BD225" r:id="rId448" xr:uid="{417F3630-D90E-45A8-819D-351B4E40B739}"/>
    <hyperlink ref="BC226" r:id="rId449" xr:uid="{6B6D883D-6EE3-4229-B3E2-A5F43C25B652}"/>
    <hyperlink ref="BD226" r:id="rId450" xr:uid="{A64B548E-B404-4DC6-BA21-4517E04F0C52}"/>
    <hyperlink ref="BC227" r:id="rId451" xr:uid="{4B611D1B-BF8B-401E-86CF-729F1B8A0F38}"/>
    <hyperlink ref="BD227" r:id="rId452" xr:uid="{8832DADD-DD25-45C7-93A6-9235F08C0C33}"/>
    <hyperlink ref="BC228" r:id="rId453" xr:uid="{5F7DDF67-D8AE-4F00-B4A9-983380266C29}"/>
    <hyperlink ref="BD228" r:id="rId454" xr:uid="{C162B2AA-1998-4C98-B3E4-DBACD5CAD86F}"/>
    <hyperlink ref="BC229" r:id="rId455" xr:uid="{A38D3886-3121-49C9-965C-B0928F72AF07}"/>
    <hyperlink ref="BD229" r:id="rId456" xr:uid="{1187F488-9EFC-4C14-BEDE-9F9A1072DF68}"/>
    <hyperlink ref="BC230" r:id="rId457" xr:uid="{D3E99769-3EB9-456D-8202-EBC760D39B99}"/>
    <hyperlink ref="BD230" r:id="rId458" xr:uid="{2A7C2FA7-8400-4303-8513-E28097B5A818}"/>
    <hyperlink ref="BC231" r:id="rId459" xr:uid="{66C6EF8E-D91E-411C-A600-9E2B5AC4737A}"/>
    <hyperlink ref="BD231" r:id="rId460" xr:uid="{415D2A7E-E11F-477C-84C8-2ACD032620FB}"/>
    <hyperlink ref="BC232" r:id="rId461" xr:uid="{3CA000E9-B575-45E2-B73B-29D06F7819EB}"/>
    <hyperlink ref="BD232" r:id="rId462" xr:uid="{83C925DA-FDCF-46BA-996C-62DCAA902F02}"/>
    <hyperlink ref="BC233" r:id="rId463" xr:uid="{00C6F076-2907-4D34-B6E7-67321B563AFB}"/>
    <hyperlink ref="BD233" r:id="rId464" xr:uid="{23B9A7C3-0F15-4CAB-B396-FBFAB929A416}"/>
    <hyperlink ref="BC234" r:id="rId465" xr:uid="{48ACB90D-A80E-4694-BAF8-A5F1E56779D2}"/>
    <hyperlink ref="BD234" r:id="rId466" xr:uid="{58AB852A-E5EB-482A-9409-EF9372E3301B}"/>
    <hyperlink ref="BC235" r:id="rId467" xr:uid="{8A2323AF-F800-4F60-9369-4E9A8E87254F}"/>
    <hyperlink ref="BD235" r:id="rId468" xr:uid="{4AB84809-B71C-45EE-9701-35B5D33AE85B}"/>
    <hyperlink ref="BC236" r:id="rId469" xr:uid="{6E010ACE-876F-460B-940E-92AC975EDBA3}"/>
    <hyperlink ref="BD236" r:id="rId470" xr:uid="{94152529-2492-46BA-A508-E34334AFADA2}"/>
    <hyperlink ref="BC237" r:id="rId471" xr:uid="{C8FEC282-45BC-4661-BBE6-A1610FE59A04}"/>
    <hyperlink ref="BD237" r:id="rId472" xr:uid="{7BD32121-BA6C-402B-A4DF-8AD98C63AF6A}"/>
    <hyperlink ref="BC238" r:id="rId473" xr:uid="{DAA701DD-3FE3-4843-B55A-8BE06305F5F3}"/>
    <hyperlink ref="BD238" r:id="rId474" xr:uid="{E6A405B8-07DA-4512-8E0A-554D2BE5F4A8}"/>
    <hyperlink ref="BC239" r:id="rId475" xr:uid="{5E0C1509-0989-47EE-B357-CBE454450F8F}"/>
    <hyperlink ref="BD239" r:id="rId476" xr:uid="{C8AD340B-5DED-41F3-9850-FC7FB359A42E}"/>
    <hyperlink ref="BC240" r:id="rId477" xr:uid="{6E9574FF-9309-4DB6-9E8E-8B560B6BAD3C}"/>
    <hyperlink ref="BD240" r:id="rId478" xr:uid="{66C99E1E-C00A-46FF-8D80-B749371707BA}"/>
    <hyperlink ref="BC241" r:id="rId479" xr:uid="{9E9531D5-00E9-4D4E-9E9C-69376E5CA8AD}"/>
    <hyperlink ref="BD241" r:id="rId480" xr:uid="{26F39A98-406C-4C80-A323-96C2432DEAAB}"/>
    <hyperlink ref="BC242" r:id="rId481" xr:uid="{EE716EAA-AEF7-42D5-83B1-A3890AB108C3}"/>
    <hyperlink ref="BD242" r:id="rId482" xr:uid="{9E447A85-0D18-477D-902D-A891D5F358F5}"/>
    <hyperlink ref="BC243" r:id="rId483" xr:uid="{9B995A9E-9939-43DC-8A9B-95A8A70C7CE5}"/>
    <hyperlink ref="BD243" r:id="rId484" xr:uid="{CC6AC154-C185-478F-BC91-C78868E00AC8}"/>
    <hyperlink ref="BC244" r:id="rId485" xr:uid="{D72DA165-718D-42FF-BD5F-F07884E6441E}"/>
    <hyperlink ref="BD244" r:id="rId486" xr:uid="{4F45E44A-F07D-4E54-B483-E7A0EFF785ED}"/>
    <hyperlink ref="BC245" r:id="rId487" xr:uid="{139C977C-4B8F-4F27-B89C-56013D6841EA}"/>
    <hyperlink ref="BD245" r:id="rId488" xr:uid="{2FB05743-C09A-4EE2-819A-656BE86B81BA}"/>
    <hyperlink ref="BC246" r:id="rId489" xr:uid="{0D71A526-9FF2-4A9F-8DA0-13B703F76CE8}"/>
    <hyperlink ref="BD246" r:id="rId490" xr:uid="{12D62980-A5A1-4205-8AFE-A210552A798D}"/>
    <hyperlink ref="BC247" r:id="rId491" xr:uid="{FBD07F96-000E-4769-A3B9-3D233D4AA807}"/>
    <hyperlink ref="BD247" r:id="rId492" xr:uid="{014EFC5E-689E-49A7-8CF1-7EDF9FEF6949}"/>
    <hyperlink ref="BC248" r:id="rId493" xr:uid="{FC39E505-5258-45BF-BABE-92DD38BD215B}"/>
    <hyperlink ref="BD248" r:id="rId494" xr:uid="{FC46DB6A-8058-4286-9282-80745231C058}"/>
    <hyperlink ref="BC249" r:id="rId495" xr:uid="{A0D14AFF-1D2B-44A9-9903-E2F5C2DC368B}"/>
    <hyperlink ref="BD249" r:id="rId496" xr:uid="{8DB4BE18-9D98-45C8-81D2-9087705A376B}"/>
    <hyperlink ref="BC250" r:id="rId497" xr:uid="{FDB8D7EB-319F-45CA-BC63-E22FB9AACC5E}"/>
    <hyperlink ref="BD250" r:id="rId498" xr:uid="{0A095207-A813-4494-BEA5-DBB751836E2B}"/>
    <hyperlink ref="BC251" r:id="rId499" xr:uid="{3AFEBF4C-7D37-42A1-8F27-B70D6849D140}"/>
    <hyperlink ref="BD251" r:id="rId500" xr:uid="{020619C5-E4FD-4D5B-8561-74239DAA9CDE}"/>
    <hyperlink ref="BC252" r:id="rId501" xr:uid="{063F5C92-B484-4EEA-B8D3-CFAAE49BAE17}"/>
    <hyperlink ref="BD252" r:id="rId502" xr:uid="{37EB6375-DF1D-4648-B53C-2326EB273A33}"/>
    <hyperlink ref="BC253" r:id="rId503" xr:uid="{E1B17CFF-24AB-4904-B0A1-5AB1F9F1E7BF}"/>
    <hyperlink ref="BD253" r:id="rId504" xr:uid="{13F73DA2-0683-4775-808F-21AACFEBCFA2}"/>
    <hyperlink ref="BC254" r:id="rId505" xr:uid="{2A535BE9-93CA-49CB-AA45-548006E45A11}"/>
    <hyperlink ref="BD254" r:id="rId506" xr:uid="{E7797D13-9DEC-422B-AFA2-35F73AABF2DD}"/>
    <hyperlink ref="BC255" r:id="rId507" xr:uid="{2BBCDD85-E2ED-4F1D-8C98-27F3D8F6F8F4}"/>
    <hyperlink ref="BD255" r:id="rId508" xr:uid="{19F45A6F-1232-477D-B49C-3D72FE03FE8F}"/>
    <hyperlink ref="BC256" r:id="rId509" xr:uid="{9A0EB359-17E0-41B8-8D06-718910B211FF}"/>
    <hyperlink ref="BD256" r:id="rId510" xr:uid="{2F60557C-C81F-4640-93DA-0913569C69E0}"/>
    <hyperlink ref="BC257" r:id="rId511" xr:uid="{B95054A5-EEBD-4F96-ABFB-BD2741EE8FD2}"/>
    <hyperlink ref="BD257" r:id="rId512" xr:uid="{A85DB69F-A646-45F3-8BAF-44E41C7609B4}"/>
    <hyperlink ref="BC258" r:id="rId513" xr:uid="{212D56E9-7A65-4367-9246-4CDD181FC7AE}"/>
    <hyperlink ref="BD258" r:id="rId514" xr:uid="{7F4E8731-2595-414A-A579-40B24710C21A}"/>
    <hyperlink ref="BC259" r:id="rId515" xr:uid="{55EC94EB-4318-43E2-8EBC-74F0CD183ADD}"/>
    <hyperlink ref="BD259" r:id="rId516" xr:uid="{D7C0008A-A262-4E5D-A965-850CC87E988D}"/>
    <hyperlink ref="BC260" r:id="rId517" xr:uid="{32D3735B-A4AD-475C-8BBC-521CBE9EC1F7}"/>
    <hyperlink ref="BD260" r:id="rId518" xr:uid="{7EC960A9-1956-4DC6-A2AC-4BC7D757245B}"/>
    <hyperlink ref="BC261" r:id="rId519" xr:uid="{57F64403-41A8-47CA-9D85-1B330E932056}"/>
    <hyperlink ref="BD261" r:id="rId520" xr:uid="{2B49CCAC-F345-436B-A769-C00522101BDA}"/>
    <hyperlink ref="BC262" r:id="rId521" xr:uid="{81C02111-98E4-4BC0-A03F-C0B9D1DEADDF}"/>
    <hyperlink ref="BD262" r:id="rId522" xr:uid="{4C415E9C-BEBA-4425-9612-EFDAF73B24AE}"/>
    <hyperlink ref="BC263" r:id="rId523" xr:uid="{86AFB9DF-A825-41D4-81D0-561247EF13CE}"/>
    <hyperlink ref="BD263" r:id="rId524" xr:uid="{6226F6E4-2D10-4530-AAFE-7AA89B2F8E55}"/>
    <hyperlink ref="BC264" r:id="rId525" xr:uid="{7166C6A2-8432-493B-9A56-4C0D72DA6BA4}"/>
    <hyperlink ref="BD264" r:id="rId526" xr:uid="{E59E74F5-9B46-4F2B-A6AB-CE4FFC5F8F8B}"/>
    <hyperlink ref="BC265" r:id="rId527" xr:uid="{30649516-AF38-4792-988B-F9C83EE55A5B}"/>
    <hyperlink ref="BD265" r:id="rId528" xr:uid="{94C66A58-3577-4BA5-972A-BC73F058FC1A}"/>
    <hyperlink ref="BC266" r:id="rId529" xr:uid="{58895C12-5743-4E22-8FBA-CFF6C7C1E159}"/>
    <hyperlink ref="BD266" r:id="rId530" xr:uid="{D6343F8F-CF7C-4769-91EB-1783E9A63702}"/>
    <hyperlink ref="BC267" r:id="rId531" xr:uid="{7703A6A7-1969-4688-B96B-46C759F5532A}"/>
    <hyperlink ref="BD267" r:id="rId532" xr:uid="{9F3FA8DA-FCAE-4904-997C-06F98A6465EA}"/>
    <hyperlink ref="BC268" r:id="rId533" xr:uid="{405D291E-4D45-4027-80BE-12B5F72390BA}"/>
    <hyperlink ref="BD268" r:id="rId534" xr:uid="{E45375CB-F195-45AE-AF99-4BBAE4497FDF}"/>
    <hyperlink ref="BC269" r:id="rId535" xr:uid="{D715844B-8AF6-40D2-A6FC-EA8978BB7751}"/>
    <hyperlink ref="BD269" r:id="rId536" xr:uid="{F9A8D86D-0727-4EE8-BFF2-7487B92AE50C}"/>
    <hyperlink ref="BC270" r:id="rId537" xr:uid="{894FF3D2-C52C-49E4-89F5-A068FD7F14DE}"/>
    <hyperlink ref="BD270" r:id="rId538" xr:uid="{F6FC57B3-0564-43B0-A260-F2442914E475}"/>
    <hyperlink ref="BC271" r:id="rId539" xr:uid="{CAF5F06E-368F-4112-BC14-D2097EB56337}"/>
    <hyperlink ref="BD271" r:id="rId540" xr:uid="{6D93F7C0-9E8C-48F3-91DA-CF8035E3EE16}"/>
    <hyperlink ref="BC272" r:id="rId541" xr:uid="{32D88989-849A-4832-BEC3-C017AC533578}"/>
    <hyperlink ref="BD272" r:id="rId542" xr:uid="{C1F0E33C-CC34-41A9-9C1E-08903DD9D09F}"/>
    <hyperlink ref="BC273" r:id="rId543" xr:uid="{BF09E020-6567-4F31-85F0-CCFAC6E5A7F6}"/>
    <hyperlink ref="BD273" r:id="rId544" xr:uid="{7DC5A46C-F80B-4551-A0B9-EEB8BABEEFC2}"/>
    <hyperlink ref="BC274" r:id="rId545" xr:uid="{6DF98A63-CF39-44CA-8E60-B6BC1F1BC4D6}"/>
    <hyperlink ref="BD274" r:id="rId546" xr:uid="{2D169F57-1F46-4800-890F-4A17DA58F900}"/>
    <hyperlink ref="BC275" r:id="rId547" xr:uid="{43E1B2D0-8784-4CE6-8608-3B2616C8247B}"/>
    <hyperlink ref="BD275" r:id="rId548" xr:uid="{EF87F271-8210-4537-9E48-8B6271E378C5}"/>
    <hyperlink ref="BC276" r:id="rId549" xr:uid="{1DFB66B4-25DC-4F6F-A46E-D959BB1F6311}"/>
    <hyperlink ref="BD276" r:id="rId550" xr:uid="{4964B4CD-ED4D-455F-B8CD-48987B3D900C}"/>
    <hyperlink ref="BC277" r:id="rId551" xr:uid="{52881D7F-03E9-4E9D-89D6-AAC582C32D39}"/>
    <hyperlink ref="BD277" r:id="rId552" xr:uid="{6F27830B-EC62-491C-B6A1-85737EF11B52}"/>
    <hyperlink ref="BC278" r:id="rId553" xr:uid="{01068386-1CD6-477E-88AE-9D196AC83B7F}"/>
    <hyperlink ref="BD278" r:id="rId554" xr:uid="{F7B66AE3-7677-4A7E-9411-F31E12859893}"/>
    <hyperlink ref="BC279" r:id="rId555" xr:uid="{CF7C9E3A-6251-4D4E-9FCD-58470A398A60}"/>
    <hyperlink ref="BD279" r:id="rId556" xr:uid="{7749D7FD-98A9-43C4-B7A5-C9A673140BDC}"/>
    <hyperlink ref="BC280" r:id="rId557" xr:uid="{7D0A5975-CD51-45DE-B932-48C9F872ACCF}"/>
    <hyperlink ref="BD280" r:id="rId558" xr:uid="{19BB490F-1F57-43D5-B449-4199055DC4AE}"/>
    <hyperlink ref="BC281" r:id="rId559" xr:uid="{F3380245-5211-41DF-8F17-C6338ABE0D0D}"/>
    <hyperlink ref="BD281" r:id="rId560" xr:uid="{B7814A24-3CA4-4A6F-92E9-B3174FF7D2CB}"/>
    <hyperlink ref="BC282" r:id="rId561" xr:uid="{E95A4459-51A9-4602-87A1-2C4E0C07757E}"/>
    <hyperlink ref="BD282" r:id="rId562" xr:uid="{B50B5555-311F-427B-98A1-8F516D7641E5}"/>
    <hyperlink ref="BC283" r:id="rId563" xr:uid="{891F911C-3A0A-45D5-9BAC-2239A2E4D3F5}"/>
    <hyperlink ref="BD283" r:id="rId564" xr:uid="{E1D007F2-3DC1-4FF3-B944-F950B53787D5}"/>
    <hyperlink ref="BC284" r:id="rId565" xr:uid="{F27BCDBD-FB45-4765-AB9F-CC1FCB6B49CF}"/>
    <hyperlink ref="BD284" r:id="rId566" xr:uid="{F69D5A94-F306-4FFA-8CD1-EDF0CA902EC0}"/>
    <hyperlink ref="BC285" r:id="rId567" xr:uid="{F989D8C6-93F8-434C-BF10-C4DB8B965C96}"/>
    <hyperlink ref="BD285" r:id="rId568" xr:uid="{4A8A21A6-B808-473D-9299-1CB6491A3EC6}"/>
    <hyperlink ref="BC286" r:id="rId569" xr:uid="{49812AA3-EB46-452F-B1ED-AFA6A0C47CA4}"/>
    <hyperlink ref="BD286" r:id="rId570" xr:uid="{162511E7-65FF-47DF-ADA3-710D4D75E428}"/>
    <hyperlink ref="BC287" r:id="rId571" xr:uid="{18532EC8-AD5B-4289-B14D-578E1CA9C3AD}"/>
    <hyperlink ref="BD287" r:id="rId572" xr:uid="{0F354B7B-1B4A-4587-B292-CADCEAF70463}"/>
    <hyperlink ref="BC288" r:id="rId573" xr:uid="{58EC0479-055A-428D-8C1D-607BE2547856}"/>
    <hyperlink ref="BD288" r:id="rId574" xr:uid="{CB0836F0-DA7A-4377-8043-1A0210EB0C5E}"/>
    <hyperlink ref="BC289" r:id="rId575" xr:uid="{66C77287-8A1C-49AA-978F-C2B49A71D8A3}"/>
    <hyperlink ref="BD289" r:id="rId576" xr:uid="{03C958DD-56AD-497E-8CC2-3409BA0E842B}"/>
    <hyperlink ref="BC290" r:id="rId577" xr:uid="{711B237C-5413-43A1-A6AE-D59C61529B7E}"/>
    <hyperlink ref="BD290" r:id="rId578" xr:uid="{831C175B-71AE-4F39-A0DE-A30216158D75}"/>
    <hyperlink ref="BC291" r:id="rId579" xr:uid="{F4E20BEB-3D73-4C30-AC79-59F004630425}"/>
    <hyperlink ref="BD291" r:id="rId580" xr:uid="{C1376EAA-BC03-44A1-85FC-9446D1326587}"/>
    <hyperlink ref="BC292" r:id="rId581" xr:uid="{A309CAD1-8398-41E2-B909-54526FF9608B}"/>
    <hyperlink ref="BD292" r:id="rId582" xr:uid="{05584F35-70ED-406B-B570-07D50FD11EEF}"/>
    <hyperlink ref="BC293" r:id="rId583" xr:uid="{D776D00D-440E-4E45-9EE0-3F69A5861D1E}"/>
    <hyperlink ref="BD293" r:id="rId584" xr:uid="{84AD2A9D-AF08-4C65-A50E-07DEAD639745}"/>
    <hyperlink ref="BC294" r:id="rId585" xr:uid="{E0150411-B9DE-4C73-B901-0D75BB3E70DF}"/>
    <hyperlink ref="BD294" r:id="rId586" xr:uid="{89DB6891-0E60-42A9-899C-E55894DE2226}"/>
    <hyperlink ref="BC295" r:id="rId587" xr:uid="{E9A5090E-FDAD-4999-84A7-C833648E2D03}"/>
    <hyperlink ref="BD295" r:id="rId588" xr:uid="{C21F34AD-567B-4B93-A30A-E82DF0719450}"/>
    <hyperlink ref="BC296" r:id="rId589" xr:uid="{2B12C1FE-57C3-4CE5-8BAC-8F7CC9536966}"/>
    <hyperlink ref="BD296" r:id="rId590" xr:uid="{60F2B518-4A18-4125-980E-7DD8DFEF24E0}"/>
    <hyperlink ref="BC297" r:id="rId591" xr:uid="{1AD491F6-F58F-4784-96FA-CB5DCF2C33BE}"/>
    <hyperlink ref="BD297" r:id="rId592" xr:uid="{0653875A-5C58-419F-8C8A-875A89ED538A}"/>
    <hyperlink ref="BC298" r:id="rId593" xr:uid="{F3150CA8-AE69-47D0-A096-6D02F6524846}"/>
    <hyperlink ref="BD298" r:id="rId594" xr:uid="{7B978C05-9B48-4C1F-85AA-ABEF83EAC659}"/>
  </hyperlinks>
  <pageMargins left="0.23622047244094491" right="0.23622047244094491" top="0.74803149606299213" bottom="0.74803149606299213" header="0.31496062992125984" footer="0.31496062992125984"/>
  <pageSetup paperSize="9" orientation="landscape" r:id="rId595"/>
  <legacyDrawing r:id="rId596"/>
  <tableParts count="1">
    <tablePart r:id="rId59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1946-A36B-446F-A4FC-E35B0C81329A}">
  <sheetPr codeName="Foglio2"/>
  <dimension ref="A1:AC245"/>
  <sheetViews>
    <sheetView topLeftCell="E1" workbookViewId="0">
      <selection activeCell="L2" activeCellId="1" sqref="N2:N123 L2:L123"/>
    </sheetView>
  </sheetViews>
  <sheetFormatPr defaultRowHeight="15" x14ac:dyDescent="0.25"/>
  <cols>
    <col min="1" max="1" width="3" bestFit="1" customWidth="1"/>
    <col min="2" max="2" width="16.5703125" bestFit="1" customWidth="1"/>
    <col min="6" max="6" width="3" bestFit="1" customWidth="1"/>
    <col min="11" max="11" width="4" bestFit="1" customWidth="1"/>
    <col min="22" max="22" width="17" bestFit="1" customWidth="1"/>
    <col min="25" max="25" width="18.140625" bestFit="1" customWidth="1"/>
    <col min="28" max="28" width="16.140625" bestFit="1" customWidth="1"/>
  </cols>
  <sheetData>
    <row r="1" spans="1:29" x14ac:dyDescent="0.25">
      <c r="B1" s="2" t="s">
        <v>882</v>
      </c>
      <c r="C1" s="1" t="s">
        <v>880</v>
      </c>
      <c r="D1" s="1" t="s">
        <v>881</v>
      </c>
      <c r="E1" s="3"/>
      <c r="F1" s="3"/>
      <c r="G1" s="2" t="s">
        <v>883</v>
      </c>
      <c r="H1" s="1" t="s">
        <v>880</v>
      </c>
      <c r="I1" s="1" t="s">
        <v>881</v>
      </c>
      <c r="L1" s="2" t="s">
        <v>879</v>
      </c>
      <c r="M1" s="1" t="s">
        <v>880</v>
      </c>
      <c r="N1" s="1" t="s">
        <v>881</v>
      </c>
      <c r="R1" s="2" t="s">
        <v>2082</v>
      </c>
      <c r="S1" s="1" t="s">
        <v>880</v>
      </c>
      <c r="T1" s="1" t="s">
        <v>881</v>
      </c>
      <c r="V1" s="34" t="s">
        <v>1487</v>
      </c>
      <c r="W1" s="34"/>
      <c r="Y1" s="34" t="s">
        <v>1487</v>
      </c>
      <c r="Z1" s="34"/>
      <c r="AB1" s="34" t="s">
        <v>1487</v>
      </c>
      <c r="AC1" s="34"/>
    </row>
    <row r="2" spans="1:29" x14ac:dyDescent="0.25">
      <c r="A2" s="4">
        <v>1</v>
      </c>
      <c r="B2" t="str" cm="1">
        <f t="array" ref="B2:B24">_xlfn.UNIQUE(_xlfn._xlws.FILTER(tblDati[order], tblDati[order]&lt;&gt;""))</f>
        <v>Passeriformes</v>
      </c>
      <c r="C2" t="s">
        <v>609</v>
      </c>
      <c r="D2">
        <f>COUNTIF(tblDati[order], B2)</f>
        <v>114</v>
      </c>
      <c r="E2">
        <v>114</v>
      </c>
      <c r="F2" s="4">
        <v>1</v>
      </c>
      <c r="G2" t="str" cm="1">
        <f t="array" ref="G2:G55">_xlfn.UNIQUE(_xlfn._xlws.FILTER(tblDati[family], tblDati[family]&lt;&gt;""))</f>
        <v>Corvidae</v>
      </c>
      <c r="H2" t="s">
        <v>871</v>
      </c>
      <c r="I2">
        <f>COUNTIF(tblDati[family], G2)</f>
        <v>22</v>
      </c>
      <c r="J2">
        <v>22</v>
      </c>
      <c r="K2" s="4">
        <v>1</v>
      </c>
      <c r="L2" t="str" cm="1">
        <f t="array" ref="L2:L123">_xlfn._xlws.SORT(_xlfn.UNIQUE(_xlfn._xlws.FILTER(tblDati[genus], tblDati[genus]&lt;&gt;"")))</f>
        <v>Accipiter</v>
      </c>
      <c r="M2" t="s">
        <v>925</v>
      </c>
      <c r="N2">
        <f>COUNTIF(tblDati[genus], L2)</f>
        <v>5</v>
      </c>
      <c r="O2">
        <v>5</v>
      </c>
      <c r="Q2">
        <v>1</v>
      </c>
      <c r="R2" t="str" cm="1">
        <f t="array" ref="R2:R151">_xlfn._xlws.SORT(_xlfn.UNIQUE(_xlfn._xlws.FILTER(tblDati[specificEpithet], tblDati[specificEpithet]&lt;&gt;"")))</f>
        <v>acuta</v>
      </c>
      <c r="T2">
        <f>COUNTIF(tblDati[specificEpithet], R2)</f>
        <v>2</v>
      </c>
      <c r="V2" s="35" t="s">
        <v>882</v>
      </c>
      <c r="W2" s="35"/>
      <c r="Y2" s="35" t="s">
        <v>883</v>
      </c>
      <c r="Z2" s="35"/>
      <c r="AB2" s="35" t="s">
        <v>879</v>
      </c>
      <c r="AC2" s="35"/>
    </row>
    <row r="3" spans="1:29" x14ac:dyDescent="0.25">
      <c r="A3" s="4">
        <v>2</v>
      </c>
      <c r="B3" t="str">
        <v>Apodiformes</v>
      </c>
      <c r="D3">
        <f>COUNTIF(tblDati[order], B3)</f>
        <v>3</v>
      </c>
      <c r="E3">
        <v>3</v>
      </c>
      <c r="F3" s="4">
        <v>2</v>
      </c>
      <c r="G3" t="str">
        <v>Trochilidae</v>
      </c>
      <c r="I3">
        <f>COUNTIF(tblDati[family], G3)</f>
        <v>2</v>
      </c>
      <c r="J3">
        <v>2</v>
      </c>
      <c r="K3" s="4">
        <v>2</v>
      </c>
      <c r="L3" t="str">
        <v>Actitis</v>
      </c>
      <c r="N3">
        <f>COUNTIF(tblDati[genus], L3)</f>
        <v>1</v>
      </c>
      <c r="O3">
        <v>1</v>
      </c>
      <c r="Q3">
        <v>2</v>
      </c>
      <c r="R3" t="str">
        <v>aeruginosus</v>
      </c>
      <c r="T3">
        <f>COUNTIF(tblDati[specificEpithet], R3)</f>
        <v>2</v>
      </c>
      <c r="V3" t="s">
        <v>62</v>
      </c>
      <c r="W3">
        <v>114</v>
      </c>
      <c r="X3">
        <v>1</v>
      </c>
      <c r="Y3" t="s">
        <v>260</v>
      </c>
      <c r="Z3">
        <v>30</v>
      </c>
      <c r="AA3">
        <v>1</v>
      </c>
      <c r="AB3" t="s">
        <v>907</v>
      </c>
      <c r="AC3">
        <v>9</v>
      </c>
    </row>
    <row r="4" spans="1:29" x14ac:dyDescent="0.25">
      <c r="A4" s="4">
        <v>3</v>
      </c>
      <c r="B4" t="str">
        <v>Psittaciformes</v>
      </c>
      <c r="D4">
        <f>COUNTIF(tblDati[order], B4)</f>
        <v>1</v>
      </c>
      <c r="E4">
        <v>1</v>
      </c>
      <c r="F4" s="4">
        <v>3</v>
      </c>
      <c r="G4" t="str">
        <v>Psittaculidae</v>
      </c>
      <c r="I4">
        <f>COUNTIF(tblDati[family], G4)</f>
        <v>1</v>
      </c>
      <c r="J4">
        <v>1</v>
      </c>
      <c r="K4" s="4">
        <v>3</v>
      </c>
      <c r="L4" t="str">
        <v>Aegithalos</v>
      </c>
      <c r="N4">
        <f>COUNTIF(tblDati[genus], L4)</f>
        <v>1</v>
      </c>
      <c r="O4">
        <v>1</v>
      </c>
      <c r="Q4">
        <v>3</v>
      </c>
      <c r="R4" t="str">
        <v>alba</v>
      </c>
      <c r="T4">
        <f>COUNTIF(tblDati[specificEpithet], R4)</f>
        <v>4</v>
      </c>
      <c r="V4" t="s">
        <v>381</v>
      </c>
      <c r="W4">
        <v>31</v>
      </c>
      <c r="X4">
        <v>2</v>
      </c>
      <c r="Y4" t="s">
        <v>63</v>
      </c>
      <c r="Z4">
        <v>22</v>
      </c>
      <c r="AA4">
        <v>2</v>
      </c>
      <c r="AB4" t="s">
        <v>147</v>
      </c>
      <c r="AC4">
        <v>9</v>
      </c>
    </row>
    <row r="5" spans="1:29" x14ac:dyDescent="0.25">
      <c r="A5" s="4">
        <v>4</v>
      </c>
      <c r="B5" t="str">
        <v>Piciformes</v>
      </c>
      <c r="D5">
        <f>COUNTIF(tblDati[order], B5)</f>
        <v>14</v>
      </c>
      <c r="E5">
        <v>14</v>
      </c>
      <c r="F5" s="4">
        <v>4</v>
      </c>
      <c r="G5" t="str">
        <v>Ramphastidae</v>
      </c>
      <c r="I5">
        <f>COUNTIF(tblDati[family], G5)</f>
        <v>2</v>
      </c>
      <c r="J5">
        <v>2</v>
      </c>
      <c r="K5" s="4">
        <v>4</v>
      </c>
      <c r="L5" t="str">
        <v>Alauda</v>
      </c>
      <c r="N5">
        <f>COUNTIF(tblDati[genus], L5)</f>
        <v>2</v>
      </c>
      <c r="O5">
        <v>2</v>
      </c>
      <c r="Q5">
        <v>4</v>
      </c>
      <c r="R5" t="str">
        <v>albellus</v>
      </c>
      <c r="T5">
        <f>COUNTIF(tblDati[specificEpithet], R5)</f>
        <v>1</v>
      </c>
      <c r="V5" t="s">
        <v>259</v>
      </c>
      <c r="W5">
        <v>30</v>
      </c>
      <c r="X5">
        <v>3</v>
      </c>
      <c r="Y5" t="s">
        <v>190</v>
      </c>
      <c r="Z5">
        <v>22</v>
      </c>
      <c r="AA5">
        <v>3</v>
      </c>
      <c r="AB5" t="s">
        <v>893</v>
      </c>
      <c r="AC5">
        <v>8</v>
      </c>
    </row>
    <row r="6" spans="1:29" x14ac:dyDescent="0.25">
      <c r="A6" s="4">
        <v>5</v>
      </c>
      <c r="B6" t="str">
        <v>Accipitriformes</v>
      </c>
      <c r="D6">
        <f>COUNTIF(tblDati[order], B6)</f>
        <v>22</v>
      </c>
      <c r="E6">
        <v>22</v>
      </c>
      <c r="F6" s="4">
        <v>5</v>
      </c>
      <c r="G6" t="str">
        <v>Passeridae</v>
      </c>
      <c r="I6">
        <f>COUNTIF(tblDati[family], G6)</f>
        <v>9</v>
      </c>
      <c r="J6">
        <v>9</v>
      </c>
      <c r="K6" s="4">
        <v>5</v>
      </c>
      <c r="L6" t="str">
        <v>Alcedo</v>
      </c>
      <c r="N6">
        <f>COUNTIF(tblDati[genus], L6)</f>
        <v>2</v>
      </c>
      <c r="O6">
        <v>2</v>
      </c>
      <c r="Q6">
        <v>5</v>
      </c>
      <c r="R6" t="str">
        <v>albifrons</v>
      </c>
      <c r="T6">
        <f>COUNTIF(tblDati[specificEpithet], R6)</f>
        <v>2</v>
      </c>
      <c r="V6" t="s">
        <v>189</v>
      </c>
      <c r="W6">
        <v>22</v>
      </c>
      <c r="X6">
        <v>4</v>
      </c>
      <c r="Y6" t="s">
        <v>405</v>
      </c>
      <c r="Z6">
        <v>17</v>
      </c>
      <c r="AA6">
        <v>4</v>
      </c>
      <c r="AB6" t="s">
        <v>968</v>
      </c>
      <c r="AC6">
        <v>7</v>
      </c>
    </row>
    <row r="7" spans="1:29" x14ac:dyDescent="0.25">
      <c r="A7" s="4">
        <v>6</v>
      </c>
      <c r="B7" t="str">
        <v>Falconiformes</v>
      </c>
      <c r="D7">
        <f>COUNTIF(tblDati[order], B7)</f>
        <v>8</v>
      </c>
      <c r="E7">
        <v>8</v>
      </c>
      <c r="F7" s="4">
        <v>6</v>
      </c>
      <c r="G7" t="str">
        <v>Paridae</v>
      </c>
      <c r="I7">
        <f>COUNTIF(tblDati[family], G7)</f>
        <v>8</v>
      </c>
      <c r="J7">
        <v>8</v>
      </c>
      <c r="K7" s="4">
        <v>6</v>
      </c>
      <c r="L7" t="str">
        <v>Alectoris</v>
      </c>
      <c r="N7">
        <f>COUNTIF(tblDati[genus], L7)</f>
        <v>1</v>
      </c>
      <c r="O7">
        <v>1</v>
      </c>
      <c r="Q7">
        <v>6</v>
      </c>
      <c r="R7" t="str">
        <v>albus</v>
      </c>
      <c r="T7">
        <f>COUNTIF(tblDati[specificEpithet], R7)</f>
        <v>1</v>
      </c>
      <c r="V7" t="s">
        <v>231</v>
      </c>
      <c r="W7">
        <v>15</v>
      </c>
      <c r="X7">
        <v>5</v>
      </c>
      <c r="Y7" t="s">
        <v>242</v>
      </c>
      <c r="Z7">
        <v>14</v>
      </c>
      <c r="AA7">
        <v>5</v>
      </c>
      <c r="AB7" t="s">
        <v>900</v>
      </c>
      <c r="AC7">
        <v>6</v>
      </c>
    </row>
    <row r="8" spans="1:29" x14ac:dyDescent="0.25">
      <c r="A8" s="4">
        <v>7</v>
      </c>
      <c r="B8" t="str">
        <v>Gruiformes</v>
      </c>
      <c r="D8">
        <f>COUNTIF(tblDati[order], B8)</f>
        <v>9</v>
      </c>
      <c r="E8">
        <v>9</v>
      </c>
      <c r="F8" s="4">
        <v>7</v>
      </c>
      <c r="G8" t="str">
        <v>Picidae</v>
      </c>
      <c r="I8">
        <f>COUNTIF(tblDati[family], G8)</f>
        <v>12</v>
      </c>
      <c r="J8">
        <v>12</v>
      </c>
      <c r="K8" s="4">
        <v>7</v>
      </c>
      <c r="L8" t="str">
        <v>Anas</v>
      </c>
      <c r="N8">
        <f>COUNTIF(tblDati[genus], L8)</f>
        <v>9</v>
      </c>
      <c r="O8">
        <v>9</v>
      </c>
      <c r="Q8">
        <v>7</v>
      </c>
      <c r="R8" t="str">
        <v>aluco</v>
      </c>
      <c r="T8">
        <f>COUNTIF(tblDati[specificEpithet], R8)</f>
        <v>3</v>
      </c>
      <c r="V8" t="s">
        <v>241</v>
      </c>
      <c r="W8">
        <v>15</v>
      </c>
      <c r="X8">
        <v>6</v>
      </c>
      <c r="Y8" t="s">
        <v>816</v>
      </c>
      <c r="Z8">
        <v>13</v>
      </c>
      <c r="AA8">
        <v>6</v>
      </c>
      <c r="AB8" t="s">
        <v>906</v>
      </c>
      <c r="AC8">
        <v>6</v>
      </c>
    </row>
    <row r="9" spans="1:29" x14ac:dyDescent="0.25">
      <c r="A9" s="4">
        <v>8</v>
      </c>
      <c r="B9" t="str">
        <v>Podicipediformes</v>
      </c>
      <c r="D9">
        <f>COUNTIF(tblDati[order], B9)</f>
        <v>4</v>
      </c>
      <c r="E9">
        <v>4</v>
      </c>
      <c r="F9" s="4">
        <v>8</v>
      </c>
      <c r="G9" t="str">
        <v>Muscicapidae</v>
      </c>
      <c r="I9">
        <f>COUNTIF(tblDati[family], G9)</f>
        <v>12</v>
      </c>
      <c r="J9">
        <v>12</v>
      </c>
      <c r="K9" s="4">
        <v>8</v>
      </c>
      <c r="L9" t="str">
        <v>Anser</v>
      </c>
      <c r="N9">
        <f>COUNTIF(tblDati[genus], L9)</f>
        <v>1</v>
      </c>
      <c r="O9">
        <v>1</v>
      </c>
      <c r="Q9">
        <v>8</v>
      </c>
      <c r="R9" t="str">
        <v>apiaster</v>
      </c>
      <c r="T9">
        <f>COUNTIF(tblDati[specificEpithet], R9)</f>
        <v>1</v>
      </c>
      <c r="V9" t="s">
        <v>125</v>
      </c>
      <c r="W9">
        <v>14</v>
      </c>
      <c r="X9">
        <v>7</v>
      </c>
      <c r="Y9" t="s">
        <v>162</v>
      </c>
      <c r="Z9">
        <v>12</v>
      </c>
      <c r="AA9">
        <v>7</v>
      </c>
      <c r="AB9" t="s">
        <v>156</v>
      </c>
      <c r="AC9">
        <v>6</v>
      </c>
    </row>
    <row r="10" spans="1:29" x14ac:dyDescent="0.25">
      <c r="A10" s="4">
        <v>9</v>
      </c>
      <c r="B10" t="str">
        <v>Pelecaniformes</v>
      </c>
      <c r="D10">
        <f>COUNTIF(tblDati[order], B10)</f>
        <v>15</v>
      </c>
      <c r="E10">
        <v>15</v>
      </c>
      <c r="F10" s="4">
        <v>9</v>
      </c>
      <c r="G10" t="str">
        <v>Fringillinae</v>
      </c>
      <c r="I10">
        <f>COUNTIF(tblDati[family], G10)</f>
        <v>3</v>
      </c>
      <c r="J10">
        <v>3</v>
      </c>
      <c r="K10" s="4">
        <v>9</v>
      </c>
      <c r="L10" t="str">
        <v>Anthus</v>
      </c>
      <c r="N10">
        <f>COUNTIF(tblDati[genus], L10)</f>
        <v>1</v>
      </c>
      <c r="O10">
        <v>1</v>
      </c>
      <c r="Q10">
        <v>9</v>
      </c>
      <c r="R10" t="str">
        <v>apivorus</v>
      </c>
      <c r="T10">
        <f>COUNTIF(tblDati[specificEpithet], R10)</f>
        <v>4</v>
      </c>
      <c r="V10" t="s">
        <v>212</v>
      </c>
      <c r="W10">
        <v>9</v>
      </c>
      <c r="X10">
        <v>8</v>
      </c>
      <c r="Y10" t="s">
        <v>177</v>
      </c>
      <c r="Z10">
        <v>12</v>
      </c>
      <c r="AA10">
        <v>8</v>
      </c>
      <c r="AB10" t="s">
        <v>908</v>
      </c>
      <c r="AC10">
        <v>6</v>
      </c>
    </row>
    <row r="11" spans="1:29" x14ac:dyDescent="0.25">
      <c r="A11" s="4">
        <v>10</v>
      </c>
      <c r="B11" t="str">
        <v>Strigiformes</v>
      </c>
      <c r="D11">
        <f>COUNTIF(tblDati[order], B11)</f>
        <v>15</v>
      </c>
      <c r="E11">
        <v>15</v>
      </c>
      <c r="F11" s="4">
        <v>10</v>
      </c>
      <c r="G11" t="str">
        <v>Oriolidae</v>
      </c>
      <c r="I11">
        <f>COUNTIF(tblDati[family], G11)</f>
        <v>3</v>
      </c>
      <c r="J11">
        <v>3</v>
      </c>
      <c r="K11" s="4">
        <v>10</v>
      </c>
      <c r="L11" t="str">
        <v>Apus</v>
      </c>
      <c r="N11">
        <f>COUNTIF(tblDati[genus], L11)</f>
        <v>1</v>
      </c>
      <c r="O11">
        <v>1</v>
      </c>
      <c r="Q11">
        <v>10</v>
      </c>
      <c r="R11" t="str">
        <v>apricaria</v>
      </c>
      <c r="T11">
        <f>COUNTIF(tblDati[specificEpithet], R11)</f>
        <v>1</v>
      </c>
      <c r="V11" t="s">
        <v>202</v>
      </c>
      <c r="W11">
        <v>8</v>
      </c>
      <c r="X11">
        <v>9</v>
      </c>
      <c r="Y11" t="s">
        <v>232</v>
      </c>
      <c r="Z11">
        <v>11</v>
      </c>
      <c r="AA11">
        <v>9</v>
      </c>
      <c r="AB11" t="s">
        <v>972</v>
      </c>
      <c r="AC11">
        <v>6</v>
      </c>
    </row>
    <row r="12" spans="1:29" x14ac:dyDescent="0.25">
      <c r="A12" s="4">
        <v>11</v>
      </c>
      <c r="B12" t="str">
        <v>Anseriformes</v>
      </c>
      <c r="D12">
        <f>COUNTIF(tblDati[order], B12)</f>
        <v>30</v>
      </c>
      <c r="E12">
        <v>30</v>
      </c>
      <c r="F12" s="4">
        <v>11</v>
      </c>
      <c r="G12" t="str">
        <v>Accipitridae</v>
      </c>
      <c r="I12">
        <f>COUNTIF(tblDati[family], G12)</f>
        <v>22</v>
      </c>
      <c r="J12">
        <v>22</v>
      </c>
      <c r="K12" s="4">
        <v>11</v>
      </c>
      <c r="L12" t="str">
        <v>Aquila</v>
      </c>
      <c r="N12">
        <f>COUNTIF(tblDati[genus], L12)</f>
        <v>1</v>
      </c>
      <c r="O12">
        <v>1</v>
      </c>
      <c r="Q12">
        <v>11</v>
      </c>
      <c r="R12" t="str">
        <v>apus</v>
      </c>
      <c r="T12">
        <f>COUNTIF(tblDati[specificEpithet], R12)</f>
        <v>1</v>
      </c>
      <c r="V12" t="s">
        <v>299</v>
      </c>
      <c r="W12">
        <v>7</v>
      </c>
      <c r="X12">
        <v>10</v>
      </c>
      <c r="Y12" t="s">
        <v>146</v>
      </c>
      <c r="Z12">
        <v>9</v>
      </c>
      <c r="AA12">
        <v>10</v>
      </c>
      <c r="AB12" t="s">
        <v>894</v>
      </c>
      <c r="AC12">
        <v>5</v>
      </c>
    </row>
    <row r="13" spans="1:29" x14ac:dyDescent="0.25">
      <c r="A13" s="4">
        <v>12</v>
      </c>
      <c r="B13" t="str">
        <v>Sphenisciforme</v>
      </c>
      <c r="D13">
        <f>COUNTIF(tblDati[order], B13)</f>
        <v>1</v>
      </c>
      <c r="E13">
        <v>2</v>
      </c>
      <c r="F13" s="4">
        <v>12</v>
      </c>
      <c r="G13" t="str">
        <v>Falconidae</v>
      </c>
      <c r="I13">
        <f>COUNTIF(tblDati[family], G13)</f>
        <v>8</v>
      </c>
      <c r="J13">
        <v>8</v>
      </c>
      <c r="K13" s="4">
        <v>12</v>
      </c>
      <c r="L13" t="str">
        <v>Ardea</v>
      </c>
      <c r="N13">
        <f>COUNTIF(tblDati[genus], L13)</f>
        <v>6</v>
      </c>
      <c r="O13">
        <v>6</v>
      </c>
      <c r="Q13">
        <v>12</v>
      </c>
      <c r="R13" t="str">
        <v>aquaticus</v>
      </c>
      <c r="T13">
        <f>COUNTIF(tblDati[specificEpithet], R13)</f>
        <v>4</v>
      </c>
      <c r="V13" t="s">
        <v>602</v>
      </c>
      <c r="W13">
        <v>4</v>
      </c>
      <c r="X13">
        <v>11</v>
      </c>
      <c r="Y13" t="s">
        <v>213</v>
      </c>
      <c r="Z13">
        <v>9</v>
      </c>
      <c r="AA13">
        <v>11</v>
      </c>
      <c r="AB13" t="s">
        <v>890</v>
      </c>
      <c r="AC13">
        <v>5</v>
      </c>
    </row>
    <row r="14" spans="1:29" x14ac:dyDescent="0.25">
      <c r="A14" s="4">
        <v>13</v>
      </c>
      <c r="B14" t="str">
        <v>Tinamiformes</v>
      </c>
      <c r="D14">
        <f>COUNTIF(tblDati[order], B14)</f>
        <v>1</v>
      </c>
      <c r="E14">
        <v>2</v>
      </c>
      <c r="F14" s="4">
        <v>13</v>
      </c>
      <c r="G14" t="str">
        <v>Rallidae</v>
      </c>
      <c r="I14">
        <f>COUNTIF(tblDati[family], G14)</f>
        <v>9</v>
      </c>
      <c r="J14">
        <v>9</v>
      </c>
      <c r="K14" s="4">
        <v>13</v>
      </c>
      <c r="L14" t="str">
        <v>Asio</v>
      </c>
      <c r="N14">
        <f>COUNTIF(tblDati[genus], L14)</f>
        <v>3</v>
      </c>
      <c r="O14">
        <v>3</v>
      </c>
      <c r="Q14">
        <v>13</v>
      </c>
      <c r="R14" t="str">
        <v>arquata</v>
      </c>
      <c r="T14">
        <f>COUNTIF(tblDati[specificEpithet], R14)</f>
        <v>2</v>
      </c>
      <c r="V14" t="s">
        <v>541</v>
      </c>
      <c r="W14">
        <v>4</v>
      </c>
      <c r="X14">
        <v>12</v>
      </c>
      <c r="Y14" t="s">
        <v>155</v>
      </c>
      <c r="Z14">
        <v>8</v>
      </c>
      <c r="AA14">
        <v>12</v>
      </c>
      <c r="AB14" t="s">
        <v>927</v>
      </c>
      <c r="AC14">
        <v>5</v>
      </c>
    </row>
    <row r="15" spans="1:29" x14ac:dyDescent="0.25">
      <c r="A15" s="4">
        <v>14</v>
      </c>
      <c r="B15" t="str">
        <v>Gaviiformes</v>
      </c>
      <c r="D15">
        <f>COUNTIF(tblDati[order], B15)</f>
        <v>2</v>
      </c>
      <c r="E15">
        <v>1</v>
      </c>
      <c r="F15" s="4">
        <v>14</v>
      </c>
      <c r="G15" t="str">
        <v>Podicipedidae</v>
      </c>
      <c r="I15">
        <f>COUNTIF(tblDati[family], G15)</f>
        <v>4</v>
      </c>
      <c r="J15">
        <v>4</v>
      </c>
      <c r="K15" s="4">
        <v>14</v>
      </c>
      <c r="L15" t="str">
        <v>Astur</v>
      </c>
      <c r="N15">
        <f>COUNTIF(tblDati[genus], L15)</f>
        <v>2</v>
      </c>
      <c r="O15">
        <v>2</v>
      </c>
      <c r="Q15">
        <v>14</v>
      </c>
      <c r="R15" t="str">
        <v>arvensis</v>
      </c>
      <c r="T15">
        <f>COUNTIF(tblDati[specificEpithet], R15)</f>
        <v>2</v>
      </c>
      <c r="V15" t="s">
        <v>609</v>
      </c>
      <c r="W15">
        <v>4</v>
      </c>
      <c r="X15">
        <v>13</v>
      </c>
      <c r="Y15" t="s">
        <v>203</v>
      </c>
      <c r="Z15">
        <v>8</v>
      </c>
      <c r="AA15">
        <v>13</v>
      </c>
      <c r="AB15" t="s">
        <v>134</v>
      </c>
      <c r="AC15">
        <v>5</v>
      </c>
    </row>
    <row r="16" spans="1:29" x14ac:dyDescent="0.25">
      <c r="A16" s="4">
        <v>15</v>
      </c>
      <c r="B16" t="str">
        <v>Ciconiiformes</v>
      </c>
      <c r="D16">
        <f>COUNTIF(tblDati[order], B16)</f>
        <v>1</v>
      </c>
      <c r="E16">
        <v>1</v>
      </c>
      <c r="F16" s="4">
        <v>15</v>
      </c>
      <c r="G16" t="str">
        <v>Ardeidae</v>
      </c>
      <c r="I16">
        <f>COUNTIF(tblDati[family], G16)</f>
        <v>11</v>
      </c>
      <c r="J16">
        <v>11</v>
      </c>
      <c r="K16" s="4">
        <v>15</v>
      </c>
      <c r="L16" t="str">
        <v>Athene</v>
      </c>
      <c r="N16">
        <f>COUNTIF(tblDati[genus], L16)</f>
        <v>3</v>
      </c>
      <c r="O16">
        <v>3</v>
      </c>
      <c r="Q16">
        <v>15</v>
      </c>
      <c r="R16" t="str">
        <v>atra</v>
      </c>
      <c r="T16">
        <f>COUNTIF(tblDati[specificEpithet], R16)</f>
        <v>3</v>
      </c>
      <c r="V16" t="s">
        <v>226</v>
      </c>
      <c r="W16">
        <v>4</v>
      </c>
      <c r="X16">
        <v>14</v>
      </c>
      <c r="Y16" t="s">
        <v>300</v>
      </c>
      <c r="Z16">
        <v>7</v>
      </c>
      <c r="AA16">
        <v>14</v>
      </c>
      <c r="AB16" t="s">
        <v>963</v>
      </c>
      <c r="AC16">
        <v>5</v>
      </c>
    </row>
    <row r="17" spans="1:29" x14ac:dyDescent="0.25">
      <c r="A17" s="4">
        <v>16</v>
      </c>
      <c r="B17" t="str">
        <v>Suliformes</v>
      </c>
      <c r="D17">
        <f>COUNTIF(tblDati[order], B17)</f>
        <v>1</v>
      </c>
      <c r="E17">
        <v>31</v>
      </c>
      <c r="F17" s="4">
        <v>16</v>
      </c>
      <c r="G17" t="str">
        <v>Strigidae</v>
      </c>
      <c r="I17">
        <f>COUNTIF(tblDati[family], G17)</f>
        <v>14</v>
      </c>
      <c r="J17">
        <v>14</v>
      </c>
      <c r="K17" s="4">
        <v>16</v>
      </c>
      <c r="L17" t="str">
        <v>Aythya</v>
      </c>
      <c r="N17">
        <f>COUNTIF(tblDati[genus], L17)</f>
        <v>6</v>
      </c>
      <c r="O17">
        <v>6</v>
      </c>
      <c r="Q17">
        <v>16</v>
      </c>
      <c r="R17" t="str">
        <v>atricapilla</v>
      </c>
      <c r="T17">
        <f>COUNTIF(tblDati[specificEpithet], R17)</f>
        <v>3</v>
      </c>
      <c r="V17" t="s">
        <v>108</v>
      </c>
      <c r="W17">
        <v>3</v>
      </c>
      <c r="X17">
        <v>15</v>
      </c>
      <c r="Y17" t="s">
        <v>551</v>
      </c>
      <c r="Z17">
        <v>7</v>
      </c>
      <c r="AA17">
        <v>15</v>
      </c>
      <c r="AB17" t="s">
        <v>87</v>
      </c>
      <c r="AC17">
        <v>5</v>
      </c>
    </row>
    <row r="18" spans="1:29" x14ac:dyDescent="0.25">
      <c r="A18" s="4">
        <v>17</v>
      </c>
      <c r="B18" t="str">
        <v>Charadriiformes</v>
      </c>
      <c r="D18">
        <f>COUNTIF(tblDati[order], B18)</f>
        <v>31</v>
      </c>
      <c r="E18">
        <v>7</v>
      </c>
      <c r="F18" s="4">
        <v>17</v>
      </c>
      <c r="G18" t="str">
        <v>Anatidae</v>
      </c>
      <c r="I18">
        <f>COUNTIF(tblDati[family], G18)</f>
        <v>30</v>
      </c>
      <c r="J18">
        <v>30</v>
      </c>
      <c r="K18" s="4">
        <v>17</v>
      </c>
      <c r="L18" t="str">
        <v>Botaurus</v>
      </c>
      <c r="N18">
        <f>COUNTIF(tblDati[genus], L18)</f>
        <v>1</v>
      </c>
      <c r="O18">
        <v>1</v>
      </c>
      <c r="Q18">
        <v>17</v>
      </c>
      <c r="R18" t="str">
        <v>atthis</v>
      </c>
      <c r="T18">
        <f>COUNTIF(tblDati[specificEpithet], R18)</f>
        <v>2</v>
      </c>
      <c r="V18" t="s">
        <v>526</v>
      </c>
      <c r="W18">
        <v>3</v>
      </c>
      <c r="X18">
        <v>16</v>
      </c>
      <c r="Y18" t="s">
        <v>689</v>
      </c>
      <c r="Z18">
        <v>7</v>
      </c>
      <c r="AA18">
        <v>16</v>
      </c>
      <c r="AB18" t="s">
        <v>991</v>
      </c>
      <c r="AC18">
        <v>5</v>
      </c>
    </row>
    <row r="19" spans="1:29" x14ac:dyDescent="0.25">
      <c r="A19" s="4">
        <v>18</v>
      </c>
      <c r="B19" t="str">
        <v>Galliformes</v>
      </c>
      <c r="D19">
        <f>COUNTIF(tblDati[order], B19)</f>
        <v>7</v>
      </c>
      <c r="E19">
        <v>3</v>
      </c>
      <c r="F19" s="4">
        <v>18</v>
      </c>
      <c r="G19" t="str">
        <v>Spheniscidae</v>
      </c>
      <c r="I19">
        <f>COUNTIF(tblDati[family], G19)</f>
        <v>1</v>
      </c>
      <c r="J19">
        <v>2</v>
      </c>
      <c r="K19" s="4">
        <v>18</v>
      </c>
      <c r="L19" t="str">
        <v>Bubo</v>
      </c>
      <c r="N19">
        <f>COUNTIF(tblDati[genus], L19)</f>
        <v>2</v>
      </c>
      <c r="O19">
        <v>2</v>
      </c>
      <c r="Q19">
        <v>18</v>
      </c>
      <c r="R19" t="str">
        <v>avosetta</v>
      </c>
      <c r="T19">
        <f>COUNTIF(tblDati[specificEpithet], R19)</f>
        <v>2</v>
      </c>
      <c r="V19" t="s">
        <v>533</v>
      </c>
      <c r="W19">
        <v>3</v>
      </c>
      <c r="X19">
        <v>17</v>
      </c>
      <c r="Y19" t="s">
        <v>723</v>
      </c>
      <c r="Z19">
        <v>7</v>
      </c>
      <c r="AA19">
        <v>17</v>
      </c>
      <c r="AB19" t="s">
        <v>163</v>
      </c>
      <c r="AC19">
        <v>4</v>
      </c>
    </row>
    <row r="20" spans="1:29" x14ac:dyDescent="0.25">
      <c r="A20" s="4">
        <v>19</v>
      </c>
      <c r="B20" t="str">
        <v>Caprimulgiformes</v>
      </c>
      <c r="D20">
        <f>COUNTIF(tblDati[order], B20)</f>
        <v>3</v>
      </c>
      <c r="E20">
        <v>3</v>
      </c>
      <c r="F20" s="4">
        <v>19</v>
      </c>
      <c r="G20" t="str">
        <v>Tinamidae</v>
      </c>
      <c r="I20">
        <f>COUNTIF(tblDati[family], G20)</f>
        <v>1</v>
      </c>
      <c r="J20">
        <v>2</v>
      </c>
      <c r="K20" s="4">
        <v>19</v>
      </c>
      <c r="L20" t="str">
        <v>Buteo</v>
      </c>
      <c r="N20">
        <f>COUNTIF(tblDati[genus], L20)</f>
        <v>5</v>
      </c>
      <c r="O20">
        <v>5</v>
      </c>
      <c r="Q20">
        <v>19</v>
      </c>
      <c r="R20" t="str">
        <v>borin</v>
      </c>
      <c r="T20">
        <f>COUNTIF(tblDati[specificEpithet], R20)</f>
        <v>2</v>
      </c>
      <c r="V20" t="s">
        <v>329</v>
      </c>
      <c r="W20">
        <v>2</v>
      </c>
      <c r="X20">
        <v>18</v>
      </c>
      <c r="Y20" t="s">
        <v>849</v>
      </c>
      <c r="Z20">
        <v>6</v>
      </c>
      <c r="AA20">
        <v>18</v>
      </c>
      <c r="AB20" t="s">
        <v>993</v>
      </c>
      <c r="AC20">
        <v>4</v>
      </c>
    </row>
    <row r="21" spans="1:29" x14ac:dyDescent="0.25">
      <c r="A21" s="4">
        <v>20</v>
      </c>
      <c r="B21" t="str">
        <v>Cuculiformes</v>
      </c>
      <c r="D21">
        <f>COUNTIF(tblDati[order], B21)</f>
        <v>3</v>
      </c>
      <c r="E21">
        <v>4</v>
      </c>
      <c r="F21" s="4">
        <v>20</v>
      </c>
      <c r="G21" t="str">
        <v>Gaviidae</v>
      </c>
      <c r="I21">
        <f>COUNTIF(tblDati[family], G21)</f>
        <v>2</v>
      </c>
      <c r="J21">
        <v>1</v>
      </c>
      <c r="K21" s="4">
        <v>20</v>
      </c>
      <c r="L21" t="str">
        <v>Calidris</v>
      </c>
      <c r="N21">
        <f>COUNTIF(tblDati[genus], L21)</f>
        <v>5</v>
      </c>
      <c r="O21">
        <v>5</v>
      </c>
      <c r="Q21">
        <v>20</v>
      </c>
      <c r="R21" t="str">
        <v>brachydactyla</v>
      </c>
      <c r="T21">
        <f>COUNTIF(tblDati[specificEpithet], R21)</f>
        <v>3</v>
      </c>
      <c r="V21" t="s">
        <v>293</v>
      </c>
      <c r="W21">
        <v>2</v>
      </c>
      <c r="X21">
        <v>19</v>
      </c>
      <c r="Y21" t="s">
        <v>652</v>
      </c>
      <c r="Z21">
        <v>5</v>
      </c>
      <c r="AA21">
        <v>19</v>
      </c>
      <c r="AB21" t="s">
        <v>888</v>
      </c>
      <c r="AC21">
        <v>4</v>
      </c>
    </row>
    <row r="22" spans="1:29" x14ac:dyDescent="0.25">
      <c r="A22" s="4">
        <v>21</v>
      </c>
      <c r="B22" t="str">
        <v>Columbiformes</v>
      </c>
      <c r="D22">
        <f>COUNTIF(tblDati[order], B22)</f>
        <v>4</v>
      </c>
      <c r="E22">
        <v>4</v>
      </c>
      <c r="F22" s="4">
        <v>21</v>
      </c>
      <c r="G22" t="str">
        <v>Threskiornithidae</v>
      </c>
      <c r="I22">
        <f>COUNTIF(tblDati[family], G22)</f>
        <v>1</v>
      </c>
      <c r="J22">
        <v>1</v>
      </c>
      <c r="K22" s="4">
        <v>21</v>
      </c>
      <c r="L22" t="str">
        <v>Caprimulgus</v>
      </c>
      <c r="N22">
        <f>COUNTIF(tblDati[genus], L22)</f>
        <v>3</v>
      </c>
      <c r="O22">
        <v>3</v>
      </c>
      <c r="Q22">
        <v>21</v>
      </c>
      <c r="R22" t="str">
        <v>bubo</v>
      </c>
      <c r="T22">
        <f>COUNTIF(tblDati[specificEpithet], R22)</f>
        <v>2</v>
      </c>
      <c r="V22" t="s">
        <v>355</v>
      </c>
      <c r="W22">
        <v>1</v>
      </c>
      <c r="X22">
        <v>20</v>
      </c>
      <c r="Y22" t="s">
        <v>227</v>
      </c>
      <c r="Z22">
        <v>4</v>
      </c>
      <c r="AA22">
        <v>20</v>
      </c>
      <c r="AB22" t="s">
        <v>64</v>
      </c>
      <c r="AC22">
        <v>4</v>
      </c>
    </row>
    <row r="23" spans="1:29" x14ac:dyDescent="0.25">
      <c r="A23" s="4">
        <v>22</v>
      </c>
      <c r="B23" t="str">
        <v>Bucerotiformes</v>
      </c>
      <c r="D23">
        <f>COUNTIF(tblDati[order], B23)</f>
        <v>4</v>
      </c>
      <c r="E23">
        <v>4</v>
      </c>
      <c r="F23" s="4">
        <v>22</v>
      </c>
      <c r="G23" t="str">
        <v>Phalacrocoracidae</v>
      </c>
      <c r="I23">
        <f>COUNTIF(tblDati[family], G23)</f>
        <v>1</v>
      </c>
      <c r="J23">
        <v>3</v>
      </c>
      <c r="K23" s="4">
        <v>22</v>
      </c>
      <c r="L23" t="str">
        <v>Carduelis</v>
      </c>
      <c r="N23">
        <f>COUNTIF(tblDati[genus], L23)</f>
        <v>1</v>
      </c>
      <c r="O23">
        <v>1</v>
      </c>
      <c r="Q23">
        <v>22</v>
      </c>
      <c r="R23" t="str">
        <v>buteo</v>
      </c>
      <c r="T23">
        <f>COUNTIF(tblDati[specificEpithet], R23)</f>
        <v>5</v>
      </c>
      <c r="V23" t="s">
        <v>116</v>
      </c>
      <c r="W23">
        <v>1</v>
      </c>
      <c r="X23">
        <v>21</v>
      </c>
      <c r="Y23" t="s">
        <v>392</v>
      </c>
      <c r="Z23">
        <v>4</v>
      </c>
      <c r="AA23">
        <v>21</v>
      </c>
      <c r="AB23" t="s">
        <v>886</v>
      </c>
      <c r="AC23">
        <v>4</v>
      </c>
    </row>
    <row r="24" spans="1:29" x14ac:dyDescent="0.25">
      <c r="A24" s="4">
        <v>23</v>
      </c>
      <c r="B24" t="str">
        <v>Coraciiformes</v>
      </c>
      <c r="D24">
        <f>COUNTIF(tblDati[order], B24)</f>
        <v>4</v>
      </c>
      <c r="E24">
        <f>SUM(E2:E23)</f>
        <v>297</v>
      </c>
      <c r="F24" s="4">
        <v>23</v>
      </c>
      <c r="G24" t="str">
        <v>Recurvirostridae</v>
      </c>
      <c r="I24">
        <f>COUNTIF(tblDati[family], G24)</f>
        <v>3</v>
      </c>
      <c r="J24">
        <v>4</v>
      </c>
      <c r="K24" s="4">
        <v>23</v>
      </c>
      <c r="L24" t="str">
        <v>Certhia</v>
      </c>
      <c r="N24">
        <f>COUNTIF(tblDati[genus], L24)</f>
        <v>3</v>
      </c>
      <c r="O24">
        <v>3</v>
      </c>
      <c r="Q24">
        <v>23</v>
      </c>
      <c r="R24" t="str">
        <v>caeruleus</v>
      </c>
      <c r="T24">
        <f>COUNTIF(tblDati[specificEpithet], R24)</f>
        <v>1</v>
      </c>
      <c r="V24" t="s">
        <v>368</v>
      </c>
      <c r="W24">
        <v>1</v>
      </c>
      <c r="X24">
        <v>22</v>
      </c>
      <c r="Y24" t="s">
        <v>542</v>
      </c>
      <c r="Z24">
        <v>4</v>
      </c>
      <c r="AA24">
        <v>22</v>
      </c>
      <c r="AB24" t="s">
        <v>905</v>
      </c>
      <c r="AC24">
        <v>4</v>
      </c>
    </row>
    <row r="25" spans="1:29" x14ac:dyDescent="0.25">
      <c r="F25" s="4">
        <v>24</v>
      </c>
      <c r="G25" t="str">
        <v>Charadriidae</v>
      </c>
      <c r="I25">
        <f>COUNTIF(tblDati[family], G25)</f>
        <v>4</v>
      </c>
      <c r="J25">
        <v>17</v>
      </c>
      <c r="K25" s="4">
        <v>24</v>
      </c>
      <c r="L25" t="str">
        <v>Cettia</v>
      </c>
      <c r="N25">
        <f>COUNTIF(tblDati[genus], L25)</f>
        <v>1</v>
      </c>
      <c r="O25">
        <v>1</v>
      </c>
      <c r="Q25">
        <v>24</v>
      </c>
      <c r="R25" t="str">
        <v>calandra</v>
      </c>
      <c r="T25">
        <f>COUNTIF(tblDati[specificEpithet], R25)</f>
        <v>1</v>
      </c>
      <c r="W25" s="4">
        <f>SUM(W3:W24)</f>
        <v>297</v>
      </c>
      <c r="X25">
        <v>23</v>
      </c>
      <c r="Y25" t="s">
        <v>603</v>
      </c>
      <c r="Z25">
        <v>4</v>
      </c>
      <c r="AA25">
        <v>23</v>
      </c>
      <c r="AB25" t="s">
        <v>891</v>
      </c>
      <c r="AC25">
        <v>4</v>
      </c>
    </row>
    <row r="26" spans="1:29" x14ac:dyDescent="0.25">
      <c r="D26">
        <f>SUM(D2:D25)</f>
        <v>297</v>
      </c>
      <c r="F26" s="4">
        <v>25</v>
      </c>
      <c r="G26" t="str">
        <v>Scolopacidae</v>
      </c>
      <c r="I26">
        <f>COUNTIF(tblDati[family], G26)</f>
        <v>17</v>
      </c>
      <c r="J26">
        <v>7</v>
      </c>
      <c r="K26" s="4">
        <v>25</v>
      </c>
      <c r="L26" t="str">
        <v>Charadrius</v>
      </c>
      <c r="N26">
        <f>COUNTIF(tblDati[genus], L26)</f>
        <v>2</v>
      </c>
      <c r="O26">
        <v>2</v>
      </c>
      <c r="Q26">
        <v>25</v>
      </c>
      <c r="R26" t="str">
        <v>cannabina</v>
      </c>
      <c r="T26">
        <f>COUNTIF(tblDati[specificEpithet], R26)</f>
        <v>1</v>
      </c>
      <c r="X26">
        <v>24</v>
      </c>
      <c r="Y26" t="s">
        <v>871</v>
      </c>
      <c r="Z26">
        <v>4</v>
      </c>
      <c r="AA26">
        <v>24</v>
      </c>
      <c r="AB26" t="s">
        <v>958</v>
      </c>
      <c r="AC26">
        <v>4</v>
      </c>
    </row>
    <row r="27" spans="1:29" x14ac:dyDescent="0.25">
      <c r="F27" s="4">
        <v>26</v>
      </c>
      <c r="G27" t="str">
        <v>Phasianidae</v>
      </c>
      <c r="I27">
        <f>COUNTIF(tblDati[family], G27)</f>
        <v>7</v>
      </c>
      <c r="J27">
        <v>3</v>
      </c>
      <c r="K27" s="4">
        <v>26</v>
      </c>
      <c r="L27" t="str">
        <v>Chlidonias</v>
      </c>
      <c r="N27">
        <f>COUNTIF(tblDati[genus], L27)</f>
        <v>2</v>
      </c>
      <c r="O27">
        <v>2</v>
      </c>
      <c r="Q27">
        <v>26</v>
      </c>
      <c r="R27" t="str">
        <v>canorus</v>
      </c>
      <c r="T27">
        <f>COUNTIF(tblDati[specificEpithet], R27)</f>
        <v>3</v>
      </c>
      <c r="X27">
        <v>25</v>
      </c>
      <c r="Y27" t="s">
        <v>181</v>
      </c>
      <c r="Z27">
        <v>3</v>
      </c>
      <c r="AA27">
        <v>25</v>
      </c>
      <c r="AB27" t="s">
        <v>95</v>
      </c>
      <c r="AC27">
        <v>4</v>
      </c>
    </row>
    <row r="28" spans="1:29" x14ac:dyDescent="0.25">
      <c r="F28" s="4">
        <v>27</v>
      </c>
      <c r="G28" t="str">
        <v>Caprimulgidae</v>
      </c>
      <c r="I28">
        <f>COUNTIF(tblDati[family], G28)</f>
        <v>3</v>
      </c>
      <c r="J28">
        <v>3</v>
      </c>
      <c r="K28" s="4">
        <v>27</v>
      </c>
      <c r="L28" t="str">
        <v>Chloris</v>
      </c>
      <c r="N28">
        <f>COUNTIF(tblDati[genus], L28)</f>
        <v>2</v>
      </c>
      <c r="O28">
        <v>2</v>
      </c>
      <c r="Q28">
        <v>27</v>
      </c>
      <c r="R28" t="str">
        <v>cantillans</v>
      </c>
      <c r="T28">
        <f>COUNTIF(tblDati[specificEpithet], R28)</f>
        <v>1</v>
      </c>
      <c r="X28">
        <v>26</v>
      </c>
      <c r="Y28" t="s">
        <v>185</v>
      </c>
      <c r="Z28">
        <v>3</v>
      </c>
      <c r="AA28">
        <v>26</v>
      </c>
      <c r="AB28" t="s">
        <v>895</v>
      </c>
      <c r="AC28">
        <v>4</v>
      </c>
    </row>
    <row r="29" spans="1:29" x14ac:dyDescent="0.25">
      <c r="F29" s="4">
        <v>28</v>
      </c>
      <c r="G29" t="str">
        <v>Cuculidae</v>
      </c>
      <c r="I29">
        <f>COUNTIF(tblDati[family], G29)</f>
        <v>3</v>
      </c>
      <c r="J29">
        <v>4</v>
      </c>
      <c r="K29" s="4">
        <v>28</v>
      </c>
      <c r="L29" t="str">
        <v>Chroicocephalus</v>
      </c>
      <c r="N29">
        <f>COUNTIF(tblDati[genus], L29)</f>
        <v>1</v>
      </c>
      <c r="O29">
        <v>1</v>
      </c>
      <c r="Q29">
        <v>28</v>
      </c>
      <c r="R29" t="str">
        <v>carbo</v>
      </c>
      <c r="T29">
        <f>COUNTIF(tblDati[specificEpithet], R29)</f>
        <v>1</v>
      </c>
      <c r="X29">
        <v>27</v>
      </c>
      <c r="Y29" t="s">
        <v>382</v>
      </c>
      <c r="Z29">
        <v>3</v>
      </c>
      <c r="AA29">
        <v>27</v>
      </c>
      <c r="AB29" t="s">
        <v>930</v>
      </c>
      <c r="AC29">
        <v>4</v>
      </c>
    </row>
    <row r="30" spans="1:29" x14ac:dyDescent="0.25">
      <c r="F30" s="4">
        <v>29</v>
      </c>
      <c r="G30" t="str">
        <v>Columbidae</v>
      </c>
      <c r="I30">
        <f>COUNTIF(tblDati[family], G30)</f>
        <v>4</v>
      </c>
      <c r="J30">
        <v>7</v>
      </c>
      <c r="K30" s="4">
        <v>29</v>
      </c>
      <c r="L30" t="str">
        <v>Cinclus</v>
      </c>
      <c r="N30">
        <f>COUNTIF(tblDati[genus], L30)</f>
        <v>2</v>
      </c>
      <c r="O30">
        <v>2</v>
      </c>
      <c r="Q30">
        <v>29</v>
      </c>
      <c r="R30" t="str">
        <v>carduelis</v>
      </c>
      <c r="T30">
        <f>COUNTIF(tblDati[specificEpithet], R30)</f>
        <v>1</v>
      </c>
      <c r="X30">
        <v>28</v>
      </c>
      <c r="Y30" t="s">
        <v>527</v>
      </c>
      <c r="Z30">
        <v>3</v>
      </c>
      <c r="AA30">
        <v>28</v>
      </c>
      <c r="AB30" t="s">
        <v>954</v>
      </c>
      <c r="AC30">
        <v>4</v>
      </c>
    </row>
    <row r="31" spans="1:29" x14ac:dyDescent="0.25">
      <c r="F31" s="4">
        <v>30</v>
      </c>
      <c r="G31" t="str">
        <v>Laridae</v>
      </c>
      <c r="I31">
        <f>COUNTIF(tblDati[family], G31)</f>
        <v>7</v>
      </c>
      <c r="J31">
        <v>1</v>
      </c>
      <c r="K31" s="4">
        <v>30</v>
      </c>
      <c r="L31" t="str">
        <v>Circus</v>
      </c>
      <c r="N31">
        <f>COUNTIF(tblDati[genus], L31)</f>
        <v>3</v>
      </c>
      <c r="O31">
        <v>3</v>
      </c>
      <c r="Q31">
        <v>30</v>
      </c>
      <c r="R31" t="str">
        <v>caryocatactes</v>
      </c>
      <c r="T31">
        <f>COUNTIF(tblDati[specificEpithet], R31)</f>
        <v>2</v>
      </c>
      <c r="X31">
        <v>29</v>
      </c>
      <c r="Y31" t="s">
        <v>534</v>
      </c>
      <c r="Z31">
        <v>3</v>
      </c>
      <c r="AA31">
        <v>29</v>
      </c>
      <c r="AB31" t="s">
        <v>952</v>
      </c>
      <c r="AC31">
        <v>3</v>
      </c>
    </row>
    <row r="32" spans="1:29" x14ac:dyDescent="0.25">
      <c r="F32" s="4">
        <v>31</v>
      </c>
      <c r="G32" t="str">
        <v>Tytonidae</v>
      </c>
      <c r="I32">
        <f>COUNTIF(tblDati[family], G32)</f>
        <v>1</v>
      </c>
      <c r="J32">
        <v>1</v>
      </c>
      <c r="K32" s="4">
        <v>31</v>
      </c>
      <c r="L32" t="str">
        <v>Coccothraustes</v>
      </c>
      <c r="N32">
        <f>COUNTIF(tblDati[genus], L32)</f>
        <v>3</v>
      </c>
      <c r="O32">
        <v>3</v>
      </c>
      <c r="Q32">
        <v>31</v>
      </c>
      <c r="R32" t="str">
        <v>caudatus</v>
      </c>
      <c r="T32">
        <f>COUNTIF(tblDati[specificEpithet], R32)</f>
        <v>1</v>
      </c>
      <c r="X32">
        <v>30</v>
      </c>
      <c r="Y32" t="s">
        <v>672</v>
      </c>
      <c r="Z32">
        <v>3</v>
      </c>
      <c r="AA32">
        <v>30</v>
      </c>
      <c r="AB32" t="s">
        <v>901</v>
      </c>
      <c r="AC32">
        <v>3</v>
      </c>
    </row>
    <row r="33" spans="6:29" x14ac:dyDescent="0.25">
      <c r="F33" s="4">
        <v>32</v>
      </c>
      <c r="G33" t="str">
        <v>Apodidae</v>
      </c>
      <c r="I33">
        <f>COUNTIF(tblDati[family], G33)</f>
        <v>1</v>
      </c>
      <c r="J33">
        <v>4</v>
      </c>
      <c r="K33" s="4">
        <v>32</v>
      </c>
      <c r="L33" t="str">
        <v>Coloeus</v>
      </c>
      <c r="N33">
        <f>COUNTIF(tblDati[genus], L33)</f>
        <v>2</v>
      </c>
      <c r="O33">
        <v>2</v>
      </c>
      <c r="Q33">
        <v>32</v>
      </c>
      <c r="R33" t="str">
        <v>cetti</v>
      </c>
      <c r="T33">
        <f>COUNTIF(tblDati[specificEpithet], R33)</f>
        <v>1</v>
      </c>
      <c r="X33">
        <v>31</v>
      </c>
      <c r="Y33" t="s">
        <v>762</v>
      </c>
      <c r="Z33">
        <v>3</v>
      </c>
      <c r="AA33">
        <v>31</v>
      </c>
      <c r="AB33" t="s">
        <v>940</v>
      </c>
      <c r="AC33">
        <v>3</v>
      </c>
    </row>
    <row r="34" spans="6:29" x14ac:dyDescent="0.25">
      <c r="F34" s="4">
        <v>33</v>
      </c>
      <c r="G34" t="str">
        <v>Upupidae</v>
      </c>
      <c r="I34">
        <f>COUNTIF(tblDati[family], G34)</f>
        <v>4</v>
      </c>
      <c r="J34">
        <v>1</v>
      </c>
      <c r="K34" s="4">
        <v>33</v>
      </c>
      <c r="L34" t="str">
        <v>Columba</v>
      </c>
      <c r="N34">
        <f>COUNTIF(tblDati[genus], L34)</f>
        <v>2</v>
      </c>
      <c r="O34">
        <v>2</v>
      </c>
      <c r="Q34">
        <v>33</v>
      </c>
      <c r="R34" t="str">
        <v>chloris</v>
      </c>
      <c r="T34">
        <f>COUNTIF(tblDati[specificEpithet], R34)</f>
        <v>2</v>
      </c>
      <c r="X34">
        <v>32</v>
      </c>
      <c r="Y34" t="s">
        <v>109</v>
      </c>
      <c r="Z34">
        <v>2</v>
      </c>
      <c r="AA34">
        <v>32</v>
      </c>
      <c r="AB34" t="s">
        <v>977</v>
      </c>
      <c r="AC34">
        <v>3</v>
      </c>
    </row>
    <row r="35" spans="6:29" x14ac:dyDescent="0.25">
      <c r="F35" s="4">
        <v>34</v>
      </c>
      <c r="G35" t="str">
        <v>Coraciidae</v>
      </c>
      <c r="I35">
        <f>COUNTIF(tblDati[family], G35)</f>
        <v>1</v>
      </c>
      <c r="J35">
        <v>1</v>
      </c>
      <c r="K35" s="4">
        <v>34</v>
      </c>
      <c r="L35" t="str">
        <v>Coracias</v>
      </c>
      <c r="N35">
        <f>COUNTIF(tblDati[genus], L35)</f>
        <v>1</v>
      </c>
      <c r="O35">
        <v>1</v>
      </c>
      <c r="Q35">
        <v>34</v>
      </c>
      <c r="R35" t="str">
        <v>chloropus</v>
      </c>
      <c r="T35">
        <f>COUNTIF(tblDati[specificEpithet], R35)</f>
        <v>2</v>
      </c>
      <c r="X35">
        <v>33</v>
      </c>
      <c r="Y35" t="s">
        <v>126</v>
      </c>
      <c r="Z35">
        <v>2</v>
      </c>
      <c r="AA35">
        <v>33</v>
      </c>
      <c r="AB35" t="s">
        <v>892</v>
      </c>
      <c r="AC35">
        <v>3</v>
      </c>
    </row>
    <row r="36" spans="6:29" x14ac:dyDescent="0.25">
      <c r="F36" s="4">
        <v>35</v>
      </c>
      <c r="G36" t="str">
        <v>Meropidae</v>
      </c>
      <c r="I36">
        <f>COUNTIF(tblDati[family], G36)</f>
        <v>1</v>
      </c>
      <c r="J36">
        <v>2</v>
      </c>
      <c r="K36" s="4">
        <v>35</v>
      </c>
      <c r="L36" t="str">
        <v>Corvus</v>
      </c>
      <c r="N36">
        <f>COUNTIF(tblDati[genus], L36)</f>
        <v>5</v>
      </c>
      <c r="O36">
        <v>5</v>
      </c>
      <c r="Q36">
        <v>35</v>
      </c>
      <c r="R36" t="str">
        <v>chrysaetos</v>
      </c>
      <c r="T36">
        <f>COUNTIF(tblDati[specificEpithet], R36)</f>
        <v>1</v>
      </c>
      <c r="X36">
        <v>34</v>
      </c>
      <c r="Y36" t="s">
        <v>294</v>
      </c>
      <c r="Z36">
        <v>2</v>
      </c>
      <c r="AA36">
        <v>34</v>
      </c>
      <c r="AB36" t="s">
        <v>990</v>
      </c>
      <c r="AC36">
        <v>3</v>
      </c>
    </row>
    <row r="37" spans="6:29" x14ac:dyDescent="0.25">
      <c r="F37" s="4">
        <v>36</v>
      </c>
      <c r="G37" t="str">
        <v>Alcedinidae</v>
      </c>
      <c r="I37">
        <f>COUNTIF(tblDati[family], G37)</f>
        <v>2</v>
      </c>
      <c r="J37">
        <v>2</v>
      </c>
      <c r="K37" s="4">
        <v>36</v>
      </c>
      <c r="L37" t="str">
        <v>Coturnix</v>
      </c>
      <c r="N37">
        <f>COUNTIF(tblDati[genus], L37)</f>
        <v>3</v>
      </c>
      <c r="O37">
        <v>3</v>
      </c>
      <c r="Q37">
        <v>36</v>
      </c>
      <c r="R37" t="str">
        <v>chrysolophus</v>
      </c>
      <c r="T37">
        <f>COUNTIF(tblDati[specificEpithet], R37)</f>
        <v>1</v>
      </c>
      <c r="X37">
        <v>35</v>
      </c>
      <c r="Y37" t="s">
        <v>330</v>
      </c>
      <c r="Z37">
        <v>2</v>
      </c>
      <c r="AA37">
        <v>35</v>
      </c>
      <c r="AB37" t="s">
        <v>936</v>
      </c>
      <c r="AC37">
        <v>3</v>
      </c>
    </row>
    <row r="38" spans="6:29" x14ac:dyDescent="0.25">
      <c r="F38" s="4">
        <v>37</v>
      </c>
      <c r="G38" t="str">
        <v>Troglodytidae</v>
      </c>
      <c r="I38">
        <f>COUNTIF(tblDati[family], G38)</f>
        <v>2</v>
      </c>
      <c r="J38">
        <v>2</v>
      </c>
      <c r="K38" s="4">
        <v>37</v>
      </c>
      <c r="L38" t="str">
        <v>Cuculus</v>
      </c>
      <c r="N38">
        <f>COUNTIF(tblDati[genus], L38)</f>
        <v>3</v>
      </c>
      <c r="O38">
        <v>3</v>
      </c>
      <c r="Q38">
        <v>37</v>
      </c>
      <c r="R38" t="str">
        <v>cinclus</v>
      </c>
      <c r="T38">
        <f>COUNTIF(tblDati[specificEpithet], R38)</f>
        <v>2</v>
      </c>
      <c r="X38">
        <v>36</v>
      </c>
      <c r="Y38" t="s">
        <v>619</v>
      </c>
      <c r="Z38">
        <v>2</v>
      </c>
      <c r="AA38">
        <v>36</v>
      </c>
      <c r="AB38" t="s">
        <v>941</v>
      </c>
      <c r="AC38">
        <v>3</v>
      </c>
    </row>
    <row r="39" spans="6:29" x14ac:dyDescent="0.25">
      <c r="F39" s="4">
        <v>38</v>
      </c>
      <c r="G39" t="str">
        <v>Cinclidae</v>
      </c>
      <c r="I39">
        <f>COUNTIF(tblDati[family], G39)</f>
        <v>2</v>
      </c>
      <c r="J39">
        <v>1</v>
      </c>
      <c r="K39" s="4">
        <v>38</v>
      </c>
      <c r="L39" t="str">
        <v>Curruca</v>
      </c>
      <c r="N39">
        <f>COUNTIF(tblDati[genus], L39)</f>
        <v>1</v>
      </c>
      <c r="O39">
        <v>1</v>
      </c>
      <c r="Q39">
        <v>38</v>
      </c>
      <c r="R39" t="str">
        <v>cinerea</v>
      </c>
      <c r="T39">
        <f>COUNTIF(tblDati[specificEpithet], R39)</f>
        <v>2</v>
      </c>
      <c r="X39">
        <v>37</v>
      </c>
      <c r="Y39" t="s">
        <v>638</v>
      </c>
      <c r="Z39">
        <v>2</v>
      </c>
      <c r="AA39">
        <v>37</v>
      </c>
      <c r="AB39" t="s">
        <v>896</v>
      </c>
      <c r="AC39">
        <v>3</v>
      </c>
    </row>
    <row r="40" spans="6:29" x14ac:dyDescent="0.25">
      <c r="F40" s="4">
        <v>39</v>
      </c>
      <c r="G40" t="str">
        <v>Prunellidae</v>
      </c>
      <c r="I40">
        <f>COUNTIF(tblDati[family], G40)</f>
        <v>1</v>
      </c>
      <c r="J40">
        <v>5</v>
      </c>
      <c r="K40" s="4">
        <v>39</v>
      </c>
      <c r="L40" t="str">
        <v>Cyanistes</v>
      </c>
      <c r="N40">
        <f>COUNTIF(tblDati[genus], L40)</f>
        <v>1</v>
      </c>
      <c r="O40">
        <v>1</v>
      </c>
      <c r="Q40">
        <v>39</v>
      </c>
      <c r="R40" t="str">
        <v>citrinella</v>
      </c>
      <c r="T40">
        <f>COUNTIF(tblDati[specificEpithet], R40)</f>
        <v>3</v>
      </c>
      <c r="X40">
        <v>38</v>
      </c>
      <c r="Y40" t="s">
        <v>643</v>
      </c>
      <c r="Z40">
        <v>2</v>
      </c>
      <c r="AA40">
        <v>38</v>
      </c>
      <c r="AB40" t="s">
        <v>928</v>
      </c>
      <c r="AC40">
        <v>3</v>
      </c>
    </row>
    <row r="41" spans="6:29" x14ac:dyDescent="0.25">
      <c r="F41" s="4">
        <v>40</v>
      </c>
      <c r="G41" t="str">
        <v>Motacillidae</v>
      </c>
      <c r="I41">
        <f>COUNTIF(tblDati[family], G41)</f>
        <v>5</v>
      </c>
      <c r="J41">
        <v>1</v>
      </c>
      <c r="K41" s="4">
        <v>40</v>
      </c>
      <c r="L41" t="str">
        <v>Dendrocopos</v>
      </c>
      <c r="N41">
        <f>COUNTIF(tblDati[genus], L41)</f>
        <v>4</v>
      </c>
      <c r="O41">
        <v>4</v>
      </c>
      <c r="Q41">
        <v>40</v>
      </c>
      <c r="R41" t="str">
        <v>clypeata</v>
      </c>
      <c r="T41">
        <f>COUNTIF(tblDati[specificEpithet], R41)</f>
        <v>3</v>
      </c>
      <c r="X41">
        <v>39</v>
      </c>
      <c r="Y41" t="s">
        <v>736</v>
      </c>
      <c r="Z41">
        <v>2</v>
      </c>
      <c r="AA41">
        <v>39</v>
      </c>
      <c r="AB41" t="s">
        <v>899</v>
      </c>
      <c r="AC41">
        <v>3</v>
      </c>
    </row>
    <row r="42" spans="6:29" x14ac:dyDescent="0.25">
      <c r="F42" s="4">
        <v>41</v>
      </c>
      <c r="G42" t="str">
        <v>Alaudidae</v>
      </c>
      <c r="I42">
        <f>COUNTIF(tblDati[family], G42)</f>
        <v>1</v>
      </c>
      <c r="J42">
        <v>1</v>
      </c>
      <c r="K42" s="4">
        <v>41</v>
      </c>
      <c r="L42" t="str">
        <v>Dryobates</v>
      </c>
      <c r="N42">
        <f>COUNTIF(tblDati[genus], L42)</f>
        <v>1</v>
      </c>
      <c r="O42">
        <v>1</v>
      </c>
      <c r="Q42">
        <v>41</v>
      </c>
      <c r="R42" t="str">
        <v>coccothraustes</v>
      </c>
      <c r="T42">
        <f>COUNTIF(tblDati[specificEpithet], R42)</f>
        <v>3</v>
      </c>
      <c r="X42">
        <v>40</v>
      </c>
      <c r="Y42" t="s">
        <v>117</v>
      </c>
      <c r="Z42">
        <v>1</v>
      </c>
      <c r="AA42">
        <v>40</v>
      </c>
      <c r="AB42" t="s">
        <v>889</v>
      </c>
      <c r="AC42">
        <v>3</v>
      </c>
    </row>
    <row r="43" spans="6:29" x14ac:dyDescent="0.25">
      <c r="F43" s="4">
        <v>42</v>
      </c>
      <c r="G43" t="str">
        <v>Hirundinidae</v>
      </c>
      <c r="I43">
        <f>COUNTIF(tblDati[family], G43)</f>
        <v>1</v>
      </c>
      <c r="J43">
        <v>3</v>
      </c>
      <c r="K43" s="4">
        <v>42</v>
      </c>
      <c r="L43" t="str">
        <v>Egretta</v>
      </c>
      <c r="N43">
        <f>COUNTIF(tblDati[genus], L43)</f>
        <v>1</v>
      </c>
      <c r="O43">
        <v>1</v>
      </c>
      <c r="Q43">
        <v>42</v>
      </c>
      <c r="R43" t="str">
        <v>coelebs</v>
      </c>
      <c r="T43">
        <f>COUNTIF(tblDati[specificEpithet], R43)</f>
        <v>3</v>
      </c>
      <c r="X43">
        <v>41</v>
      </c>
      <c r="Y43" t="s">
        <v>363</v>
      </c>
      <c r="Z43">
        <v>1</v>
      </c>
      <c r="AA43">
        <v>41</v>
      </c>
      <c r="AB43" t="s">
        <v>885</v>
      </c>
      <c r="AC43">
        <v>3</v>
      </c>
    </row>
    <row r="44" spans="6:29" x14ac:dyDescent="0.25">
      <c r="F44" s="4">
        <v>43</v>
      </c>
      <c r="G44" t="str">
        <v>Aegithalidae</v>
      </c>
      <c r="I44">
        <f>COUNTIF(tblDati[family], G44)</f>
        <v>3</v>
      </c>
      <c r="J44">
        <v>7</v>
      </c>
      <c r="K44" s="4">
        <v>43</v>
      </c>
      <c r="L44" t="str">
        <v>Emberiza</v>
      </c>
      <c r="N44">
        <f>COUNTIF(tblDati[genus], L44)</f>
        <v>4</v>
      </c>
      <c r="O44">
        <v>4</v>
      </c>
      <c r="Q44">
        <v>43</v>
      </c>
      <c r="R44" t="str">
        <v>corax</v>
      </c>
      <c r="T44">
        <f>COUNTIF(tblDati[specificEpithet], R44)</f>
        <v>1</v>
      </c>
      <c r="X44">
        <v>42</v>
      </c>
      <c r="Y44" t="s">
        <v>369</v>
      </c>
      <c r="Z44">
        <v>1</v>
      </c>
      <c r="AA44">
        <v>42</v>
      </c>
      <c r="AB44" t="s">
        <v>898</v>
      </c>
      <c r="AC44">
        <v>3</v>
      </c>
    </row>
    <row r="45" spans="6:29" x14ac:dyDescent="0.25">
      <c r="F45" s="4">
        <v>44</v>
      </c>
      <c r="G45" t="str">
        <v>Turdidae</v>
      </c>
      <c r="I45">
        <f>COUNTIF(tblDati[family], G45)</f>
        <v>7</v>
      </c>
      <c r="J45">
        <v>7</v>
      </c>
      <c r="K45" s="4">
        <v>44</v>
      </c>
      <c r="L45" t="str">
        <v>Eriocnemis</v>
      </c>
      <c r="N45">
        <f>COUNTIF(tblDati[genus], L45)</f>
        <v>1</v>
      </c>
      <c r="O45">
        <v>1</v>
      </c>
      <c r="Q45">
        <v>44</v>
      </c>
      <c r="R45" t="str">
        <v>corone</v>
      </c>
      <c r="T45">
        <f>COUNTIF(tblDati[specificEpithet], R45)</f>
        <v>2</v>
      </c>
      <c r="X45">
        <v>43</v>
      </c>
      <c r="Y45" t="s">
        <v>579</v>
      </c>
      <c r="Z45">
        <v>1</v>
      </c>
      <c r="AA45">
        <v>43</v>
      </c>
      <c r="AB45" t="s">
        <v>989</v>
      </c>
      <c r="AC45">
        <v>3</v>
      </c>
    </row>
    <row r="46" spans="6:29" x14ac:dyDescent="0.25">
      <c r="F46" s="4">
        <v>45</v>
      </c>
      <c r="G46" t="str">
        <v>Sylviidae</v>
      </c>
      <c r="I46">
        <f>COUNTIF(tblDati[family], G46)</f>
        <v>7</v>
      </c>
      <c r="J46">
        <v>1</v>
      </c>
      <c r="K46" s="4">
        <v>45</v>
      </c>
      <c r="L46" t="str">
        <v>Erithacus</v>
      </c>
      <c r="N46">
        <f>COUNTIF(tblDati[genus], L46)</f>
        <v>2</v>
      </c>
      <c r="O46">
        <v>2</v>
      </c>
      <c r="Q46">
        <v>45</v>
      </c>
      <c r="R46" t="str">
        <v>coturnix</v>
      </c>
      <c r="T46">
        <f>COUNTIF(tblDati[specificEpithet], R46)</f>
        <v>3</v>
      </c>
      <c r="X46">
        <v>44</v>
      </c>
      <c r="Y46" t="s">
        <v>598</v>
      </c>
      <c r="Z46">
        <v>1</v>
      </c>
      <c r="AA46">
        <v>44</v>
      </c>
      <c r="AB46" t="s">
        <v>903</v>
      </c>
      <c r="AC46">
        <v>3</v>
      </c>
    </row>
    <row r="47" spans="6:29" x14ac:dyDescent="0.25">
      <c r="F47" s="4">
        <v>46</v>
      </c>
      <c r="G47" t="str">
        <v>Phylloscopidae</v>
      </c>
      <c r="I47">
        <f>COUNTIF(tblDati[family], G47)</f>
        <v>1</v>
      </c>
      <c r="J47">
        <v>2</v>
      </c>
      <c r="K47" s="4">
        <v>46</v>
      </c>
      <c r="L47" t="str">
        <v>Eudyptes</v>
      </c>
      <c r="N47">
        <f>COUNTIF(tblDati[genus], L47)</f>
        <v>1</v>
      </c>
      <c r="O47">
        <v>8</v>
      </c>
      <c r="Q47">
        <v>46</v>
      </c>
      <c r="R47" t="str">
        <v>crecca</v>
      </c>
      <c r="T47">
        <f>COUNTIF(tblDati[specificEpithet], R47)</f>
        <v>2</v>
      </c>
      <c r="X47">
        <v>45</v>
      </c>
      <c r="Y47" t="s">
        <v>610</v>
      </c>
      <c r="Z47">
        <v>1</v>
      </c>
      <c r="AA47">
        <v>45</v>
      </c>
      <c r="AB47" t="s">
        <v>967</v>
      </c>
      <c r="AC47">
        <v>2</v>
      </c>
    </row>
    <row r="48" spans="6:29" x14ac:dyDescent="0.25">
      <c r="F48" s="4">
        <v>47</v>
      </c>
      <c r="G48" t="str">
        <v>Regulidae</v>
      </c>
      <c r="I48">
        <f>COUNTIF(tblDati[family], G48)</f>
        <v>2</v>
      </c>
      <c r="J48">
        <v>1</v>
      </c>
      <c r="K48" s="4">
        <v>47</v>
      </c>
      <c r="L48" t="str">
        <v>Falco</v>
      </c>
      <c r="N48">
        <f>COUNTIF(tblDati[genus], L48)</f>
        <v>8</v>
      </c>
      <c r="O48">
        <v>1</v>
      </c>
      <c r="Q48">
        <v>47</v>
      </c>
      <c r="R48" t="str">
        <v>cristata</v>
      </c>
      <c r="T48">
        <f>COUNTIF(tblDati[specificEpithet], R48)</f>
        <v>1</v>
      </c>
      <c r="X48">
        <v>46</v>
      </c>
      <c r="Y48" t="s">
        <v>615</v>
      </c>
      <c r="Z48">
        <v>1</v>
      </c>
      <c r="AA48">
        <v>46</v>
      </c>
      <c r="AB48" t="s">
        <v>957</v>
      </c>
      <c r="AC48">
        <v>2</v>
      </c>
    </row>
    <row r="49" spans="6:29" x14ac:dyDescent="0.25">
      <c r="F49" s="4">
        <v>48</v>
      </c>
      <c r="G49" t="str">
        <v>Cettiidae</v>
      </c>
      <c r="I49">
        <f>COUNTIF(tblDati[family], G49)</f>
        <v>1</v>
      </c>
      <c r="J49">
        <v>1</v>
      </c>
      <c r="K49" s="4">
        <v>48</v>
      </c>
      <c r="L49" t="str">
        <v>Ficedula</v>
      </c>
      <c r="N49">
        <f>COUNTIF(tblDati[genus], L49)</f>
        <v>1</v>
      </c>
      <c r="O49">
        <v>4</v>
      </c>
      <c r="Q49">
        <v>48</v>
      </c>
      <c r="R49" t="str">
        <v>cristatus</v>
      </c>
      <c r="T49">
        <f>COUNTIF(tblDati[specificEpithet], R49)</f>
        <v>2</v>
      </c>
      <c r="X49">
        <v>47</v>
      </c>
      <c r="Y49" t="s">
        <v>648</v>
      </c>
      <c r="Z49">
        <v>1</v>
      </c>
      <c r="AA49">
        <v>47</v>
      </c>
      <c r="AB49" t="s">
        <v>938</v>
      </c>
      <c r="AC49">
        <v>2</v>
      </c>
    </row>
    <row r="50" spans="6:29" x14ac:dyDescent="0.25">
      <c r="F50" s="4">
        <v>49</v>
      </c>
      <c r="G50" t="str">
        <v>Laniidae</v>
      </c>
      <c r="I50">
        <f>COUNTIF(tblDati[family], G50)</f>
        <v>1</v>
      </c>
      <c r="J50">
        <v>3</v>
      </c>
      <c r="K50" s="4">
        <v>49</v>
      </c>
      <c r="L50" t="str">
        <v>Fringilla</v>
      </c>
      <c r="N50">
        <f>COUNTIF(tblDati[genus], L50)</f>
        <v>4</v>
      </c>
      <c r="O50">
        <v>3</v>
      </c>
      <c r="Q50">
        <v>49</v>
      </c>
      <c r="R50" t="str">
        <v>curvirostra</v>
      </c>
      <c r="T50">
        <f>COUNTIF(tblDati[specificEpithet], R50)</f>
        <v>1</v>
      </c>
      <c r="X50">
        <v>48</v>
      </c>
      <c r="Y50" t="s">
        <v>661</v>
      </c>
      <c r="Z50">
        <v>1</v>
      </c>
      <c r="AA50">
        <v>48</v>
      </c>
      <c r="AB50" t="s">
        <v>902</v>
      </c>
      <c r="AC50">
        <v>2</v>
      </c>
    </row>
    <row r="51" spans="6:29" x14ac:dyDescent="0.25">
      <c r="F51" s="4">
        <v>50</v>
      </c>
      <c r="G51" t="str">
        <v>Certhiidae</v>
      </c>
      <c r="I51">
        <f>COUNTIF(tblDati[family], G51)</f>
        <v>3</v>
      </c>
      <c r="J51">
        <v>1</v>
      </c>
      <c r="K51" s="4">
        <v>50</v>
      </c>
      <c r="L51" t="str">
        <v>Fulica</v>
      </c>
      <c r="N51">
        <f>COUNTIF(tblDati[genus], L51)</f>
        <v>3</v>
      </c>
      <c r="O51">
        <v>1</v>
      </c>
      <c r="Q51">
        <v>50</v>
      </c>
      <c r="R51" t="str">
        <v>cyaneus</v>
      </c>
      <c r="T51">
        <f>COUNTIF(tblDati[specificEpithet], R51)</f>
        <v>1</v>
      </c>
      <c r="X51">
        <v>49</v>
      </c>
      <c r="Y51" t="s">
        <v>668</v>
      </c>
      <c r="Z51">
        <v>1</v>
      </c>
      <c r="AA51">
        <v>49</v>
      </c>
      <c r="AB51" t="s">
        <v>924</v>
      </c>
      <c r="AC51">
        <v>2</v>
      </c>
    </row>
    <row r="52" spans="6:29" x14ac:dyDescent="0.25">
      <c r="F52" s="4">
        <v>51</v>
      </c>
      <c r="G52" t="str">
        <v>Sittidae</v>
      </c>
      <c r="I52">
        <f>COUNTIF(tblDati[family], G52)</f>
        <v>1</v>
      </c>
      <c r="J52">
        <v>13</v>
      </c>
      <c r="K52" s="4">
        <v>51</v>
      </c>
      <c r="L52" t="str">
        <v>Galerida</v>
      </c>
      <c r="N52">
        <f>COUNTIF(tblDati[genus], L52)</f>
        <v>1</v>
      </c>
      <c r="O52">
        <v>3</v>
      </c>
      <c r="Q52">
        <v>51</v>
      </c>
      <c r="R52" t="str">
        <v>dicolorus</v>
      </c>
      <c r="T52">
        <f>COUNTIF(tblDati[specificEpithet], R52)</f>
        <v>2</v>
      </c>
      <c r="X52">
        <v>50</v>
      </c>
      <c r="Y52" t="s">
        <v>732</v>
      </c>
      <c r="Z52">
        <v>1</v>
      </c>
      <c r="AA52">
        <v>50</v>
      </c>
      <c r="AB52" t="s">
        <v>945</v>
      </c>
      <c r="AC52">
        <v>2</v>
      </c>
    </row>
    <row r="53" spans="6:29" x14ac:dyDescent="0.25">
      <c r="F53" s="4">
        <v>52</v>
      </c>
      <c r="G53" t="str">
        <v>Fringillidae</v>
      </c>
      <c r="I53">
        <f>COUNTIF(tblDati[family], G53)</f>
        <v>13</v>
      </c>
      <c r="J53">
        <v>6</v>
      </c>
      <c r="K53" s="4">
        <v>52</v>
      </c>
      <c r="L53" t="str">
        <v>Gallinago</v>
      </c>
      <c r="N53">
        <f>COUNTIF(tblDati[genus], L53)</f>
        <v>3</v>
      </c>
      <c r="O53">
        <v>2</v>
      </c>
      <c r="Q53">
        <v>52</v>
      </c>
      <c r="R53" t="str">
        <v>domesticus</v>
      </c>
      <c r="T53">
        <f>COUNTIF(tblDati[specificEpithet], R53)</f>
        <v>2</v>
      </c>
      <c r="X53">
        <v>51</v>
      </c>
      <c r="Y53" t="s">
        <v>741</v>
      </c>
      <c r="Z53">
        <v>1</v>
      </c>
      <c r="AA53">
        <v>51</v>
      </c>
      <c r="AB53" t="s">
        <v>987</v>
      </c>
      <c r="AC53">
        <v>2</v>
      </c>
    </row>
    <row r="54" spans="6:29" x14ac:dyDescent="0.25">
      <c r="F54" s="4">
        <v>53</v>
      </c>
      <c r="G54" t="str">
        <v>Sturnidae</v>
      </c>
      <c r="I54">
        <f>COUNTIF(tblDati[family], G54)</f>
        <v>6</v>
      </c>
      <c r="J54">
        <v>4</v>
      </c>
      <c r="K54" s="4">
        <v>53</v>
      </c>
      <c r="L54" t="str">
        <v>Gallinula</v>
      </c>
      <c r="N54">
        <f>COUNTIF(tblDati[genus], L54)</f>
        <v>2</v>
      </c>
      <c r="O54">
        <v>4</v>
      </c>
      <c r="Q54">
        <v>53</v>
      </c>
      <c r="R54" t="str">
        <v>dubius</v>
      </c>
      <c r="T54">
        <f>COUNTIF(tblDati[specificEpithet], R54)</f>
        <v>1</v>
      </c>
      <c r="X54">
        <v>52</v>
      </c>
      <c r="Y54" t="s">
        <v>757</v>
      </c>
      <c r="Z54">
        <v>1</v>
      </c>
      <c r="AA54">
        <v>52</v>
      </c>
      <c r="AB54" t="s">
        <v>961</v>
      </c>
      <c r="AC54">
        <v>2</v>
      </c>
    </row>
    <row r="55" spans="6:29" x14ac:dyDescent="0.25">
      <c r="F55" s="4">
        <v>54</v>
      </c>
      <c r="G55" t="str">
        <v>Emberizidae</v>
      </c>
      <c r="I55">
        <f>COUNTIF(tblDati[family], G55)</f>
        <v>4</v>
      </c>
      <c r="J55">
        <f>SUM(J2:J54)</f>
        <v>297</v>
      </c>
      <c r="K55" s="4">
        <v>54</v>
      </c>
      <c r="L55" t="str">
        <v>Garrulus</v>
      </c>
      <c r="N55">
        <f>COUNTIF(tblDati[genus], L55)</f>
        <v>4</v>
      </c>
      <c r="O55">
        <v>2</v>
      </c>
      <c r="Q55">
        <v>54</v>
      </c>
      <c r="R55" t="str">
        <v>epops</v>
      </c>
      <c r="T55">
        <f>COUNTIF(tblDati[specificEpithet], R55)</f>
        <v>4</v>
      </c>
      <c r="X55">
        <v>53</v>
      </c>
      <c r="Y55" t="s">
        <v>786</v>
      </c>
      <c r="Z55">
        <v>1</v>
      </c>
      <c r="AA55">
        <v>53</v>
      </c>
      <c r="AB55" t="s">
        <v>983</v>
      </c>
      <c r="AC55">
        <v>2</v>
      </c>
    </row>
    <row r="56" spans="6:29" x14ac:dyDescent="0.25">
      <c r="K56" s="4">
        <v>55</v>
      </c>
      <c r="L56" t="str">
        <v>Gavia</v>
      </c>
      <c r="N56">
        <f>COUNTIF(tblDati[genus], L56)</f>
        <v>2</v>
      </c>
      <c r="O56">
        <v>1</v>
      </c>
      <c r="Q56">
        <v>55</v>
      </c>
      <c r="R56" t="str">
        <v>erythropus</v>
      </c>
      <c r="T56">
        <f>COUNTIF(tblDati[specificEpithet], R56)</f>
        <v>1</v>
      </c>
      <c r="Z56" s="4">
        <f>SUM(Z3:Z55)</f>
        <v>297</v>
      </c>
      <c r="AA56">
        <v>54</v>
      </c>
      <c r="AB56" t="s">
        <v>943</v>
      </c>
      <c r="AC56">
        <v>2</v>
      </c>
    </row>
    <row r="57" spans="6:29" x14ac:dyDescent="0.25">
      <c r="I57">
        <f>SUM(I2:I56)</f>
        <v>297</v>
      </c>
      <c r="K57" s="4">
        <v>56</v>
      </c>
      <c r="L57" t="str">
        <v>Glaucidium</v>
      </c>
      <c r="N57">
        <f>COUNTIF(tblDati[genus], L57)</f>
        <v>1</v>
      </c>
      <c r="O57">
        <v>1</v>
      </c>
      <c r="Q57">
        <v>56</v>
      </c>
      <c r="R57" t="str">
        <v>europaea</v>
      </c>
      <c r="T57">
        <f>COUNTIF(tblDati[specificEpithet], R57)</f>
        <v>1</v>
      </c>
      <c r="AA57">
        <v>55</v>
      </c>
      <c r="AB57" t="s">
        <v>887</v>
      </c>
      <c r="AC57">
        <v>2</v>
      </c>
    </row>
    <row r="58" spans="6:29" x14ac:dyDescent="0.25">
      <c r="K58" s="4">
        <v>57</v>
      </c>
      <c r="L58" t="str">
        <v>Himantopus</v>
      </c>
      <c r="N58">
        <f>COUNTIF(tblDati[genus], L58)</f>
        <v>1</v>
      </c>
      <c r="O58">
        <v>1</v>
      </c>
      <c r="Q58">
        <v>57</v>
      </c>
      <c r="R58" t="str">
        <v>europaeus</v>
      </c>
      <c r="T58">
        <f>COUNTIF(tblDati[specificEpithet], R58)</f>
        <v>3</v>
      </c>
      <c r="AA58">
        <v>56</v>
      </c>
      <c r="AB58" t="s">
        <v>897</v>
      </c>
      <c r="AC58">
        <v>2</v>
      </c>
    </row>
    <row r="59" spans="6:29" x14ac:dyDescent="0.25">
      <c r="G59" t="s">
        <v>260</v>
      </c>
      <c r="H59">
        <v>30</v>
      </c>
      <c r="K59" s="4">
        <v>58</v>
      </c>
      <c r="L59" t="str">
        <v>Hirundo</v>
      </c>
      <c r="N59">
        <f>COUNTIF(tblDati[genus], L59)</f>
        <v>1</v>
      </c>
      <c r="O59">
        <v>1</v>
      </c>
      <c r="Q59">
        <v>58</v>
      </c>
      <c r="R59" t="str">
        <v>falcinellus</v>
      </c>
      <c r="T59">
        <f>COUNTIF(tblDati[specificEpithet], R59)</f>
        <v>1</v>
      </c>
      <c r="AA59">
        <v>57</v>
      </c>
      <c r="AB59" t="s">
        <v>916</v>
      </c>
      <c r="AC59">
        <v>2</v>
      </c>
    </row>
    <row r="60" spans="6:29" x14ac:dyDescent="0.25">
      <c r="G60" t="s">
        <v>190</v>
      </c>
      <c r="H60">
        <v>22</v>
      </c>
      <c r="K60" s="4">
        <v>59</v>
      </c>
      <c r="L60" t="str">
        <v>Hydrocoloeus</v>
      </c>
      <c r="N60">
        <f>COUNTIF(tblDati[genus], L60)</f>
        <v>1</v>
      </c>
      <c r="O60">
        <v>1</v>
      </c>
      <c r="Q60">
        <v>59</v>
      </c>
      <c r="R60" t="str">
        <v>ferina</v>
      </c>
      <c r="T60">
        <f>COUNTIF(tblDati[specificEpithet], R60)</f>
        <v>4</v>
      </c>
      <c r="AA60">
        <v>58</v>
      </c>
      <c r="AB60" t="s">
        <v>934</v>
      </c>
      <c r="AC60">
        <v>2</v>
      </c>
    </row>
    <row r="61" spans="6:29" x14ac:dyDescent="0.25">
      <c r="G61" t="s">
        <v>63</v>
      </c>
      <c r="H61">
        <v>22</v>
      </c>
      <c r="K61" s="4">
        <v>60</v>
      </c>
      <c r="L61" t="str">
        <v>Ichthyaetus</v>
      </c>
      <c r="N61">
        <f>COUNTIF(tblDati[genus], L61)</f>
        <v>1</v>
      </c>
      <c r="O61">
        <v>4</v>
      </c>
      <c r="Q61">
        <v>60</v>
      </c>
      <c r="R61" t="str">
        <v>flammeus</v>
      </c>
      <c r="T61">
        <f>COUNTIF(tblDati[specificEpithet], R61)</f>
        <v>2</v>
      </c>
      <c r="AA61">
        <v>59</v>
      </c>
      <c r="AB61" t="s">
        <v>912</v>
      </c>
      <c r="AC61">
        <v>2</v>
      </c>
    </row>
    <row r="62" spans="6:29" x14ac:dyDescent="0.25">
      <c r="G62" t="s">
        <v>405</v>
      </c>
      <c r="H62">
        <v>17</v>
      </c>
      <c r="K62" s="4">
        <v>61</v>
      </c>
      <c r="L62" t="str">
        <v>Jynx</v>
      </c>
      <c r="N62">
        <f>COUNTIF(tblDati[genus], L62)</f>
        <v>4</v>
      </c>
      <c r="O62">
        <v>2</v>
      </c>
      <c r="Q62">
        <v>61</v>
      </c>
      <c r="R62" t="str">
        <v>frugilegus</v>
      </c>
      <c r="T62">
        <f>COUNTIF(tblDati[specificEpithet], R62)</f>
        <v>1</v>
      </c>
      <c r="AA62">
        <v>60</v>
      </c>
      <c r="AB62" t="s">
        <v>937</v>
      </c>
      <c r="AC62">
        <v>2</v>
      </c>
    </row>
    <row r="63" spans="6:29" x14ac:dyDescent="0.25">
      <c r="G63" t="s">
        <v>242</v>
      </c>
      <c r="H63">
        <v>14</v>
      </c>
      <c r="K63" s="4">
        <v>62</v>
      </c>
      <c r="L63" t="str">
        <v>Lagopus</v>
      </c>
      <c r="N63">
        <f>COUNTIF(tblDati[genus], L63)</f>
        <v>2</v>
      </c>
      <c r="O63">
        <v>1</v>
      </c>
      <c r="Q63">
        <v>62</v>
      </c>
      <c r="R63" t="str">
        <v>gallinago</v>
      </c>
      <c r="T63">
        <f>COUNTIF(tblDati[specificEpithet], R63)</f>
        <v>2</v>
      </c>
      <c r="AA63">
        <v>61</v>
      </c>
      <c r="AB63" t="s">
        <v>99</v>
      </c>
      <c r="AC63">
        <v>2</v>
      </c>
    </row>
    <row r="64" spans="6:29" x14ac:dyDescent="0.25">
      <c r="G64" t="s">
        <v>816</v>
      </c>
      <c r="H64">
        <v>13</v>
      </c>
      <c r="K64" s="4">
        <v>63</v>
      </c>
      <c r="L64" t="str">
        <v>Lanius</v>
      </c>
      <c r="N64">
        <f>COUNTIF(tblDati[genus], L64)</f>
        <v>1</v>
      </c>
      <c r="O64">
        <v>1</v>
      </c>
      <c r="Q64">
        <v>63</v>
      </c>
      <c r="R64" t="str">
        <v>garrulus</v>
      </c>
      <c r="T64">
        <f>COUNTIF(tblDati[specificEpithet], R64)</f>
        <v>1</v>
      </c>
      <c r="AA64">
        <v>62</v>
      </c>
      <c r="AB64" t="s">
        <v>931</v>
      </c>
      <c r="AC64">
        <v>2</v>
      </c>
    </row>
    <row r="65" spans="7:29" x14ac:dyDescent="0.25">
      <c r="G65" t="s">
        <v>232</v>
      </c>
      <c r="H65">
        <v>11</v>
      </c>
      <c r="K65" s="4">
        <v>64</v>
      </c>
      <c r="L65" t="str">
        <v>Limosa</v>
      </c>
      <c r="N65">
        <f>COUNTIF(tblDati[genus], L65)</f>
        <v>1</v>
      </c>
      <c r="O65">
        <v>1</v>
      </c>
      <c r="Q65">
        <v>64</v>
      </c>
      <c r="R65" t="str">
        <v>garzetta</v>
      </c>
      <c r="T65">
        <f>COUNTIF(tblDati[specificEpithet], R65)</f>
        <v>1</v>
      </c>
      <c r="AA65">
        <v>63</v>
      </c>
      <c r="AB65" t="s">
        <v>904</v>
      </c>
      <c r="AC65">
        <v>2</v>
      </c>
    </row>
    <row r="66" spans="7:29" x14ac:dyDescent="0.25">
      <c r="G66" t="s">
        <v>177</v>
      </c>
      <c r="H66">
        <v>11</v>
      </c>
      <c r="K66" s="4">
        <v>65</v>
      </c>
      <c r="L66" t="str">
        <v>Linaria</v>
      </c>
      <c r="N66">
        <f>COUNTIF(tblDati[genus], L66)</f>
        <v>1</v>
      </c>
      <c r="O66">
        <v>1</v>
      </c>
      <c r="Q66">
        <v>65</v>
      </c>
      <c r="R66" t="str">
        <v>gentilis</v>
      </c>
      <c r="T66">
        <f>COUNTIF(tblDati[specificEpithet], R66)</f>
        <v>2</v>
      </c>
      <c r="AA66">
        <v>64</v>
      </c>
      <c r="AB66" t="s">
        <v>127</v>
      </c>
      <c r="AC66">
        <v>2</v>
      </c>
    </row>
    <row r="67" spans="7:29" x14ac:dyDescent="0.25">
      <c r="G67" t="s">
        <v>162</v>
      </c>
      <c r="H67">
        <v>11</v>
      </c>
      <c r="K67" s="4">
        <v>66</v>
      </c>
      <c r="L67" t="str">
        <v>Loxia</v>
      </c>
      <c r="N67">
        <f>COUNTIF(tblDati[genus], L67)</f>
        <v>1</v>
      </c>
      <c r="O67">
        <v>1</v>
      </c>
      <c r="Q67">
        <v>66</v>
      </c>
      <c r="R67" t="str">
        <v>glandarius</v>
      </c>
      <c r="T67">
        <f>COUNTIF(tblDati[specificEpithet], R67)</f>
        <v>4</v>
      </c>
      <c r="AA67">
        <v>65</v>
      </c>
      <c r="AB67" t="s">
        <v>922</v>
      </c>
      <c r="AC67">
        <v>2</v>
      </c>
    </row>
    <row r="68" spans="7:29" x14ac:dyDescent="0.25">
      <c r="G68" t="s">
        <v>146</v>
      </c>
      <c r="H68">
        <v>9</v>
      </c>
      <c r="K68" s="4">
        <v>67</v>
      </c>
      <c r="L68" t="str">
        <v>Luscinia</v>
      </c>
      <c r="N68">
        <f>COUNTIF(tblDati[genus], L68)</f>
        <v>1</v>
      </c>
      <c r="O68">
        <v>4</v>
      </c>
      <c r="Q68">
        <v>67</v>
      </c>
      <c r="R68" t="str">
        <v xml:space="preserve">glareola  </v>
      </c>
      <c r="T68">
        <f>COUNTIF(tblDati[specificEpithet], R68)</f>
        <v>1</v>
      </c>
      <c r="AA68">
        <v>66</v>
      </c>
      <c r="AB68" t="s">
        <v>974</v>
      </c>
      <c r="AC68">
        <v>2</v>
      </c>
    </row>
    <row r="69" spans="7:29" x14ac:dyDescent="0.25">
      <c r="G69" t="s">
        <v>213</v>
      </c>
      <c r="H69">
        <v>9</v>
      </c>
      <c r="K69" s="4">
        <v>68</v>
      </c>
      <c r="L69" t="str">
        <v>Mareca</v>
      </c>
      <c r="N69">
        <f>COUNTIF(tblDati[genus], L69)</f>
        <v>4</v>
      </c>
      <c r="O69">
        <v>1</v>
      </c>
      <c r="Q69">
        <v>68</v>
      </c>
      <c r="R69" t="str">
        <v>graculus</v>
      </c>
      <c r="T69">
        <f>COUNTIF(tblDati[specificEpithet], R69)</f>
        <v>4</v>
      </c>
      <c r="AA69">
        <v>67</v>
      </c>
      <c r="AB69" t="s">
        <v>910</v>
      </c>
      <c r="AC69">
        <v>2</v>
      </c>
    </row>
    <row r="70" spans="7:29" x14ac:dyDescent="0.25">
      <c r="G70" t="s">
        <v>203</v>
      </c>
      <c r="H70">
        <v>8</v>
      </c>
      <c r="K70" s="4">
        <v>69</v>
      </c>
      <c r="L70" t="str">
        <v>Mergellus</v>
      </c>
      <c r="N70">
        <f>COUNTIF(tblDati[genus], L70)</f>
        <v>1</v>
      </c>
      <c r="O70">
        <v>2</v>
      </c>
      <c r="Q70">
        <v>69</v>
      </c>
      <c r="R70" t="str">
        <v>graeca</v>
      </c>
      <c r="T70">
        <f>COUNTIF(tblDati[specificEpithet], R70)</f>
        <v>1</v>
      </c>
      <c r="AA70">
        <v>68</v>
      </c>
      <c r="AB70" t="s">
        <v>970</v>
      </c>
      <c r="AC70">
        <v>2</v>
      </c>
    </row>
    <row r="71" spans="7:29" x14ac:dyDescent="0.25">
      <c r="G71" t="s">
        <v>155</v>
      </c>
      <c r="H71">
        <v>8</v>
      </c>
      <c r="K71" s="4">
        <v>70</v>
      </c>
      <c r="L71" t="str">
        <v>Mergus</v>
      </c>
      <c r="N71">
        <f>COUNTIF(tblDati[genus], L71)</f>
        <v>2</v>
      </c>
      <c r="O71">
        <v>1</v>
      </c>
      <c r="Q71">
        <v>70</v>
      </c>
      <c r="R71" t="str">
        <v>hiaticula</v>
      </c>
      <c r="T71">
        <f>COUNTIF(tblDati[specificEpithet], R71)</f>
        <v>1</v>
      </c>
      <c r="AA71">
        <v>69</v>
      </c>
      <c r="AB71" t="s">
        <v>942</v>
      </c>
      <c r="AC71">
        <v>2</v>
      </c>
    </row>
    <row r="72" spans="7:29" x14ac:dyDescent="0.25">
      <c r="G72" t="s">
        <v>300</v>
      </c>
      <c r="H72">
        <v>8</v>
      </c>
      <c r="K72" s="4">
        <v>71</v>
      </c>
      <c r="L72" t="str">
        <v>Merops</v>
      </c>
      <c r="N72">
        <f>COUNTIF(tblDati[genus], L72)</f>
        <v>1</v>
      </c>
      <c r="O72">
        <v>2</v>
      </c>
      <c r="Q72">
        <v>71</v>
      </c>
      <c r="R72" t="str">
        <v>himantopus</v>
      </c>
      <c r="T72">
        <f>COUNTIF(tblDati[specificEpithet], R72)</f>
        <v>1</v>
      </c>
      <c r="AA72">
        <v>70</v>
      </c>
      <c r="AB72" t="s">
        <v>960</v>
      </c>
      <c r="AC72">
        <v>2</v>
      </c>
    </row>
    <row r="73" spans="7:29" x14ac:dyDescent="0.25">
      <c r="G73" t="s">
        <v>551</v>
      </c>
      <c r="H73">
        <v>7</v>
      </c>
      <c r="K73" s="4">
        <v>72</v>
      </c>
      <c r="L73" t="str">
        <v>Milvus</v>
      </c>
      <c r="N73">
        <f>COUNTIF(tblDati[genus], L73)</f>
        <v>2</v>
      </c>
      <c r="O73">
        <v>5</v>
      </c>
      <c r="Q73">
        <v>72</v>
      </c>
      <c r="R73" t="str">
        <v>hortensis</v>
      </c>
      <c r="T73">
        <f>COUNTIF(tblDati[specificEpithet], R73)</f>
        <v>1</v>
      </c>
      <c r="AA73">
        <v>71</v>
      </c>
      <c r="AB73" t="s">
        <v>932</v>
      </c>
      <c r="AC73">
        <v>1</v>
      </c>
    </row>
    <row r="74" spans="7:29" x14ac:dyDescent="0.25">
      <c r="G74" t="s">
        <v>689</v>
      </c>
      <c r="H74">
        <v>7</v>
      </c>
      <c r="K74" s="4">
        <v>73</v>
      </c>
      <c r="L74" t="str">
        <v>Monticola</v>
      </c>
      <c r="N74">
        <f>COUNTIF(tblDati[genus], L74)</f>
        <v>5</v>
      </c>
      <c r="O74">
        <v>1</v>
      </c>
      <c r="Q74">
        <v>73</v>
      </c>
      <c r="R74" t="str">
        <v>hypoleuca</v>
      </c>
      <c r="T74">
        <f>COUNTIF(tblDati[specificEpithet], R74)</f>
        <v>1</v>
      </c>
      <c r="AA74">
        <v>72</v>
      </c>
      <c r="AB74" t="s">
        <v>979</v>
      </c>
      <c r="AC74">
        <v>1</v>
      </c>
    </row>
    <row r="75" spans="7:29" x14ac:dyDescent="0.25">
      <c r="G75" t="s">
        <v>849</v>
      </c>
      <c r="H75">
        <v>6</v>
      </c>
      <c r="K75" s="4">
        <v>74</v>
      </c>
      <c r="L75" t="str">
        <v>Netta</v>
      </c>
      <c r="N75">
        <f>COUNTIF(tblDati[genus], L75)</f>
        <v>1</v>
      </c>
      <c r="O75">
        <v>2</v>
      </c>
      <c r="Q75">
        <v>74</v>
      </c>
      <c r="R75" t="str">
        <v>hypoleucos</v>
      </c>
      <c r="T75">
        <f>COUNTIF(tblDati[specificEpithet], R75)</f>
        <v>1</v>
      </c>
      <c r="AA75">
        <v>73</v>
      </c>
      <c r="AB75" t="s">
        <v>911</v>
      </c>
      <c r="AC75">
        <v>1</v>
      </c>
    </row>
    <row r="76" spans="7:29" x14ac:dyDescent="0.25">
      <c r="G76" t="s">
        <v>723</v>
      </c>
      <c r="H76">
        <v>6</v>
      </c>
      <c r="K76" s="4">
        <v>75</v>
      </c>
      <c r="L76" t="str">
        <v>Nucifraga</v>
      </c>
      <c r="N76">
        <f>COUNTIF(tblDati[genus], L76)</f>
        <v>2</v>
      </c>
      <c r="O76">
        <v>2</v>
      </c>
      <c r="Q76">
        <v>75</v>
      </c>
      <c r="R76" t="str">
        <v>iliacus</v>
      </c>
      <c r="T76">
        <f>COUNTIF(tblDati[specificEpithet], R76)</f>
        <v>2</v>
      </c>
      <c r="AA76">
        <v>74</v>
      </c>
      <c r="AB76" t="s">
        <v>921</v>
      </c>
      <c r="AC76">
        <v>1</v>
      </c>
    </row>
    <row r="77" spans="7:29" x14ac:dyDescent="0.25">
      <c r="G77" t="s">
        <v>652</v>
      </c>
      <c r="H77">
        <v>5</v>
      </c>
      <c r="K77" s="4">
        <v>76</v>
      </c>
      <c r="L77" t="str">
        <v>Numenius</v>
      </c>
      <c r="N77">
        <f>COUNTIF(tblDati[genus], L77)</f>
        <v>2</v>
      </c>
      <c r="O77">
        <v>3</v>
      </c>
      <c r="Q77">
        <v>76</v>
      </c>
      <c r="R77" t="str">
        <v>italiae</v>
      </c>
      <c r="T77">
        <f>COUNTIF(tblDati[specificEpithet], R77)</f>
        <v>3</v>
      </c>
      <c r="AA77">
        <v>75</v>
      </c>
      <c r="AB77" t="s">
        <v>965</v>
      </c>
      <c r="AC77">
        <v>1</v>
      </c>
    </row>
    <row r="78" spans="7:29" x14ac:dyDescent="0.25">
      <c r="G78" t="s">
        <v>392</v>
      </c>
      <c r="H78">
        <v>4</v>
      </c>
      <c r="K78" s="4">
        <v>77</v>
      </c>
      <c r="L78" t="str">
        <v>Nycticorax</v>
      </c>
      <c r="N78">
        <f>COUNTIF(tblDati[genus], L78)</f>
        <v>3</v>
      </c>
      <c r="O78">
        <v>1</v>
      </c>
      <c r="Q78">
        <v>77</v>
      </c>
      <c r="R78" t="str">
        <v>limosa</v>
      </c>
      <c r="T78">
        <f>COUNTIF(tblDati[specificEpithet], R78)</f>
        <v>1</v>
      </c>
      <c r="AA78">
        <v>76</v>
      </c>
      <c r="AB78" t="s">
        <v>953</v>
      </c>
      <c r="AC78">
        <v>1</v>
      </c>
    </row>
    <row r="79" spans="7:29" x14ac:dyDescent="0.25">
      <c r="G79" t="s">
        <v>542</v>
      </c>
      <c r="H79">
        <v>4</v>
      </c>
      <c r="K79" s="4">
        <v>78</v>
      </c>
      <c r="L79" t="str">
        <v>Oenanthe</v>
      </c>
      <c r="N79">
        <f>COUNTIF(tblDati[genus], L79)</f>
        <v>1</v>
      </c>
      <c r="O79">
        <v>3</v>
      </c>
      <c r="Q79">
        <v>78</v>
      </c>
      <c r="R79" t="str">
        <v>major</v>
      </c>
      <c r="T79">
        <f>COUNTIF(tblDati[specificEpithet], R79)</f>
        <v>10</v>
      </c>
      <c r="AA79">
        <v>77</v>
      </c>
      <c r="AB79" t="s">
        <v>939</v>
      </c>
      <c r="AC79">
        <v>1</v>
      </c>
    </row>
    <row r="80" spans="7:29" x14ac:dyDescent="0.25">
      <c r="G80" t="s">
        <v>871</v>
      </c>
      <c r="H80">
        <v>4</v>
      </c>
      <c r="K80" s="4">
        <v>79</v>
      </c>
      <c r="L80" t="str">
        <v>Oriolus</v>
      </c>
      <c r="N80">
        <f>COUNTIF(tblDati[genus], L80)</f>
        <v>3</v>
      </c>
      <c r="O80">
        <v>2</v>
      </c>
      <c r="Q80">
        <v>79</v>
      </c>
      <c r="R80" t="str">
        <v>media</v>
      </c>
      <c r="T80">
        <f>COUNTIF(tblDati[specificEpithet], R80)</f>
        <v>1</v>
      </c>
      <c r="AA80">
        <v>78</v>
      </c>
      <c r="AB80" t="s">
        <v>918</v>
      </c>
      <c r="AC80">
        <v>1</v>
      </c>
    </row>
    <row r="81" spans="7:29" x14ac:dyDescent="0.25">
      <c r="G81" t="s">
        <v>227</v>
      </c>
      <c r="H81">
        <v>4</v>
      </c>
      <c r="K81" s="4">
        <v>80</v>
      </c>
      <c r="L81" t="str">
        <v>Otus</v>
      </c>
      <c r="N81">
        <f>COUNTIF(tblDati[genus], L81)</f>
        <v>2</v>
      </c>
      <c r="O81">
        <v>6</v>
      </c>
      <c r="Q81">
        <v>80</v>
      </c>
      <c r="R81" t="str">
        <v>megarhynchos</v>
      </c>
      <c r="T81">
        <f>COUNTIF(tblDati[specificEpithet], R81)</f>
        <v>1</v>
      </c>
      <c r="AA81">
        <v>79</v>
      </c>
      <c r="AB81" t="s">
        <v>984</v>
      </c>
      <c r="AC81">
        <v>1</v>
      </c>
    </row>
    <row r="82" spans="7:29" x14ac:dyDescent="0.25">
      <c r="G82" t="s">
        <v>603</v>
      </c>
      <c r="H82">
        <v>4</v>
      </c>
      <c r="K82" s="4">
        <v>81</v>
      </c>
      <c r="L82" t="str">
        <v>Parus</v>
      </c>
      <c r="N82">
        <f>COUNTIF(tblDati[genus], L82)</f>
        <v>6</v>
      </c>
      <c r="O82">
        <v>9</v>
      </c>
      <c r="Q82">
        <v>81</v>
      </c>
      <c r="R82" t="str">
        <v>melanocephalus</v>
      </c>
      <c r="T82">
        <f>COUNTIF(tblDati[specificEpithet], R82)</f>
        <v>1</v>
      </c>
      <c r="AA82">
        <v>80</v>
      </c>
      <c r="AB82" t="s">
        <v>975</v>
      </c>
      <c r="AC82">
        <v>1</v>
      </c>
    </row>
    <row r="83" spans="7:29" x14ac:dyDescent="0.25">
      <c r="G83" t="s">
        <v>672</v>
      </c>
      <c r="H83">
        <v>3</v>
      </c>
      <c r="K83" s="4">
        <v>82</v>
      </c>
      <c r="L83" t="str">
        <v>Passer</v>
      </c>
      <c r="N83">
        <f>COUNTIF(tblDati[genus], L83)</f>
        <v>9</v>
      </c>
      <c r="O83">
        <v>1</v>
      </c>
      <c r="Q83">
        <v>82</v>
      </c>
      <c r="R83" t="str">
        <v>merula</v>
      </c>
      <c r="T83">
        <f>COUNTIF(tblDati[specificEpithet], R83)</f>
        <v>2</v>
      </c>
      <c r="AA83">
        <v>81</v>
      </c>
      <c r="AB83" t="s">
        <v>946</v>
      </c>
      <c r="AC83">
        <v>1</v>
      </c>
    </row>
    <row r="84" spans="7:29" x14ac:dyDescent="0.25">
      <c r="G84" t="s">
        <v>527</v>
      </c>
      <c r="H84">
        <v>3</v>
      </c>
      <c r="K84" s="4">
        <v>83</v>
      </c>
      <c r="L84" t="str">
        <v>Pastor</v>
      </c>
      <c r="N84">
        <f>COUNTIF(tblDati[genus], L84)</f>
        <v>1</v>
      </c>
      <c r="O84">
        <v>1</v>
      </c>
      <c r="Q84">
        <v>83</v>
      </c>
      <c r="R84" t="str">
        <v>migrans</v>
      </c>
      <c r="T84">
        <f>COUNTIF(tblDati[specificEpithet], R84)</f>
        <v>1</v>
      </c>
      <c r="AA84">
        <v>82</v>
      </c>
      <c r="AB84" t="s">
        <v>955</v>
      </c>
      <c r="AC84">
        <v>1</v>
      </c>
    </row>
    <row r="85" spans="7:29" x14ac:dyDescent="0.25">
      <c r="G85" t="s">
        <v>762</v>
      </c>
      <c r="H85">
        <v>3</v>
      </c>
      <c r="K85" s="4">
        <v>84</v>
      </c>
      <c r="L85" t="str">
        <v>Perdix</v>
      </c>
      <c r="N85">
        <f>COUNTIF(tblDati[genus], L85)</f>
        <v>1</v>
      </c>
      <c r="O85">
        <v>4</v>
      </c>
      <c r="Q85">
        <v>84</v>
      </c>
      <c r="R85" t="str">
        <v>milvus</v>
      </c>
      <c r="T85">
        <f>COUNTIF(tblDati[specificEpithet], R85)</f>
        <v>1</v>
      </c>
      <c r="AA85">
        <v>83</v>
      </c>
      <c r="AB85" t="s">
        <v>971</v>
      </c>
      <c r="AC85">
        <v>1</v>
      </c>
    </row>
    <row r="86" spans="7:29" x14ac:dyDescent="0.25">
      <c r="G86" t="s">
        <v>534</v>
      </c>
      <c r="H86">
        <v>3</v>
      </c>
      <c r="K86" s="4">
        <v>85</v>
      </c>
      <c r="L86" t="str">
        <v>Pernis</v>
      </c>
      <c r="N86">
        <f>COUNTIF(tblDati[genus], L86)</f>
        <v>4</v>
      </c>
      <c r="O86">
        <v>1</v>
      </c>
      <c r="Q86">
        <v>85</v>
      </c>
      <c r="R86" t="str">
        <v>minor</v>
      </c>
      <c r="T86">
        <f>COUNTIF(tblDati[specificEpithet], R86)</f>
        <v>1</v>
      </c>
      <c r="AA86">
        <v>84</v>
      </c>
      <c r="AB86" t="s">
        <v>981</v>
      </c>
      <c r="AC86">
        <v>1</v>
      </c>
    </row>
    <row r="87" spans="7:29" x14ac:dyDescent="0.25">
      <c r="G87" t="s">
        <v>181</v>
      </c>
      <c r="H87">
        <v>3</v>
      </c>
      <c r="K87" s="4">
        <v>86</v>
      </c>
      <c r="L87" t="str">
        <v>Phalacrocorax</v>
      </c>
      <c r="N87">
        <f>COUNTIF(tblDati[genus], L87)</f>
        <v>1</v>
      </c>
      <c r="O87">
        <v>4</v>
      </c>
      <c r="Q87">
        <v>86</v>
      </c>
      <c r="R87" t="str">
        <v>minuta</v>
      </c>
      <c r="T87">
        <f>COUNTIF(tblDati[specificEpithet], R87)</f>
        <v>1</v>
      </c>
      <c r="AA87">
        <v>85</v>
      </c>
      <c r="AB87" t="s">
        <v>1470</v>
      </c>
      <c r="AC87">
        <v>1</v>
      </c>
    </row>
    <row r="88" spans="7:29" x14ac:dyDescent="0.25">
      <c r="G88" t="s">
        <v>185</v>
      </c>
      <c r="H88">
        <v>3</v>
      </c>
      <c r="K88" s="4">
        <v>87</v>
      </c>
      <c r="L88" t="str">
        <v>Phoenicurus</v>
      </c>
      <c r="N88">
        <f>COUNTIF(tblDati[genus], L88)</f>
        <v>4</v>
      </c>
      <c r="O88">
        <v>1</v>
      </c>
      <c r="Q88">
        <v>87</v>
      </c>
      <c r="R88" t="str">
        <v>minutus</v>
      </c>
      <c r="T88">
        <f>COUNTIF(tblDati[specificEpithet], R88)</f>
        <v>1</v>
      </c>
      <c r="AA88">
        <v>86</v>
      </c>
      <c r="AB88" t="s">
        <v>917</v>
      </c>
      <c r="AC88">
        <v>1</v>
      </c>
    </row>
    <row r="89" spans="7:29" x14ac:dyDescent="0.25">
      <c r="G89" t="s">
        <v>382</v>
      </c>
      <c r="H89">
        <v>3</v>
      </c>
      <c r="K89" s="4">
        <v>88</v>
      </c>
      <c r="L89" t="str">
        <v>Phylloscopus</v>
      </c>
      <c r="N89">
        <f>COUNTIF(tblDati[genus], L89)</f>
        <v>1</v>
      </c>
      <c r="O89">
        <v>4</v>
      </c>
      <c r="Q89">
        <v>88</v>
      </c>
      <c r="R89" t="str">
        <v>modularis</v>
      </c>
      <c r="T89">
        <f>COUNTIF(tblDati[specificEpithet], R89)</f>
        <v>1</v>
      </c>
      <c r="AA89">
        <v>87</v>
      </c>
      <c r="AB89" t="s">
        <v>110</v>
      </c>
      <c r="AC89">
        <v>1</v>
      </c>
    </row>
    <row r="90" spans="7:29" x14ac:dyDescent="0.25">
      <c r="G90" t="s">
        <v>619</v>
      </c>
      <c r="H90">
        <v>2</v>
      </c>
      <c r="K90" s="4">
        <v>89</v>
      </c>
      <c r="L90" t="str">
        <v>Pica</v>
      </c>
      <c r="N90">
        <f>COUNTIF(tblDati[genus], L90)</f>
        <v>4</v>
      </c>
      <c r="O90">
        <v>3</v>
      </c>
      <c r="Q90">
        <v>89</v>
      </c>
      <c r="R90" t="str">
        <v>moluccans</v>
      </c>
      <c r="T90">
        <f>COUNTIF(tblDati[specificEpithet], R90)</f>
        <v>1</v>
      </c>
      <c r="AA90">
        <v>88</v>
      </c>
      <c r="AB90" t="s">
        <v>978</v>
      </c>
      <c r="AC90">
        <v>1</v>
      </c>
    </row>
    <row r="91" spans="7:29" x14ac:dyDescent="0.25">
      <c r="G91" t="s">
        <v>643</v>
      </c>
      <c r="H91">
        <v>2</v>
      </c>
      <c r="K91" s="4">
        <v>90</v>
      </c>
      <c r="L91" t="str">
        <v>Picus</v>
      </c>
      <c r="N91">
        <f>COUNTIF(tblDati[genus], L91)</f>
        <v>3</v>
      </c>
      <c r="O91">
        <v>1</v>
      </c>
      <c r="Q91">
        <v>90</v>
      </c>
      <c r="R91" t="str">
        <v>monedula</v>
      </c>
      <c r="T91">
        <f>COUNTIF(tblDati[specificEpithet], R91)</f>
        <v>2</v>
      </c>
      <c r="AA91">
        <v>89</v>
      </c>
      <c r="AB91" t="s">
        <v>964</v>
      </c>
      <c r="AC91">
        <v>1</v>
      </c>
    </row>
    <row r="92" spans="7:29" x14ac:dyDescent="0.25">
      <c r="G92" t="s">
        <v>330</v>
      </c>
      <c r="H92">
        <v>2</v>
      </c>
      <c r="K92" s="4">
        <v>91</v>
      </c>
      <c r="L92" t="str">
        <v>Plegadis</v>
      </c>
      <c r="N92">
        <f>COUNTIF(tblDati[genus], L92)</f>
        <v>1</v>
      </c>
      <c r="O92">
        <v>1</v>
      </c>
      <c r="Q92">
        <v>91</v>
      </c>
      <c r="R92" t="str">
        <v>montanus</v>
      </c>
      <c r="T92">
        <f>COUNTIF(tblDati[specificEpithet], R92)</f>
        <v>4</v>
      </c>
      <c r="AA92">
        <v>90</v>
      </c>
      <c r="AB92" t="s">
        <v>951</v>
      </c>
      <c r="AC92">
        <v>1</v>
      </c>
    </row>
    <row r="93" spans="7:29" x14ac:dyDescent="0.25">
      <c r="G93" t="s">
        <v>126</v>
      </c>
      <c r="H93">
        <v>2</v>
      </c>
      <c r="K93" s="4">
        <v>92</v>
      </c>
      <c r="L93" t="str">
        <v>Pluvialis</v>
      </c>
      <c r="N93">
        <f>COUNTIF(tblDati[genus], L93)</f>
        <v>1</v>
      </c>
      <c r="O93">
        <v>3</v>
      </c>
      <c r="Q93">
        <v>92</v>
      </c>
      <c r="R93" t="str">
        <v>montifringilla</v>
      </c>
      <c r="T93">
        <f>COUNTIF(tblDati[specificEpithet], R93)</f>
        <v>1</v>
      </c>
      <c r="AA93">
        <v>91</v>
      </c>
      <c r="AB93" t="s">
        <v>923</v>
      </c>
      <c r="AC93">
        <v>1</v>
      </c>
    </row>
    <row r="94" spans="7:29" x14ac:dyDescent="0.25">
      <c r="G94" t="s">
        <v>736</v>
      </c>
      <c r="H94">
        <v>2</v>
      </c>
      <c r="K94" s="4">
        <v>93</v>
      </c>
      <c r="L94" t="str">
        <v>Podiceps</v>
      </c>
      <c r="N94">
        <f>COUNTIF(tblDati[genus], L94)</f>
        <v>3</v>
      </c>
      <c r="O94">
        <v>1</v>
      </c>
      <c r="Q94">
        <v>93</v>
      </c>
      <c r="R94" t="str">
        <v>muta</v>
      </c>
      <c r="T94">
        <f>COUNTIF(tblDati[specificEpithet], R94)</f>
        <v>2</v>
      </c>
      <c r="AA94">
        <v>92</v>
      </c>
      <c r="AB94" t="s">
        <v>966</v>
      </c>
      <c r="AC94">
        <v>1</v>
      </c>
    </row>
    <row r="95" spans="7:29" x14ac:dyDescent="0.25">
      <c r="G95" t="s">
        <v>109</v>
      </c>
      <c r="H95">
        <v>2</v>
      </c>
      <c r="K95" s="4">
        <v>94</v>
      </c>
      <c r="L95" t="str">
        <v>Poecile</v>
      </c>
      <c r="N95">
        <f>COUNTIF(tblDati[genus], L95)</f>
        <v>1</v>
      </c>
      <c r="O95">
        <v>1</v>
      </c>
      <c r="Q95">
        <v>94</v>
      </c>
      <c r="R95" t="str">
        <v>naumanni</v>
      </c>
      <c r="T95">
        <f>COUNTIF(tblDati[specificEpithet], R95)</f>
        <v>1</v>
      </c>
      <c r="AA95">
        <v>93</v>
      </c>
      <c r="AB95" t="s">
        <v>947</v>
      </c>
      <c r="AC95">
        <v>1</v>
      </c>
    </row>
    <row r="96" spans="7:29" x14ac:dyDescent="0.25">
      <c r="G96" t="s">
        <v>638</v>
      </c>
      <c r="H96">
        <v>2</v>
      </c>
      <c r="K96" s="4">
        <v>95</v>
      </c>
      <c r="L96" t="str">
        <v>Prunella</v>
      </c>
      <c r="N96">
        <f>COUNTIF(tblDati[genus], L96)</f>
        <v>1</v>
      </c>
      <c r="O96">
        <v>5</v>
      </c>
      <c r="Q96">
        <v>95</v>
      </c>
      <c r="R96" t="str">
        <v>nebularia</v>
      </c>
      <c r="T96">
        <f>COUNTIF(tblDati[specificEpithet], R96)</f>
        <v>1</v>
      </c>
      <c r="AA96">
        <v>94</v>
      </c>
      <c r="AB96" t="s">
        <v>949</v>
      </c>
      <c r="AC96">
        <v>1</v>
      </c>
    </row>
    <row r="97" spans="7:29" x14ac:dyDescent="0.25">
      <c r="G97" t="s">
        <v>661</v>
      </c>
      <c r="H97">
        <v>1</v>
      </c>
      <c r="K97" s="4">
        <v>96</v>
      </c>
      <c r="L97" t="str">
        <v>Pyrrhocorax</v>
      </c>
      <c r="N97">
        <f>COUNTIF(tblDati[genus], L97)</f>
        <v>5</v>
      </c>
      <c r="O97">
        <v>3</v>
      </c>
      <c r="Q97">
        <v>96</v>
      </c>
      <c r="R97" t="str">
        <v>niger</v>
      </c>
      <c r="T97">
        <f>COUNTIF(tblDati[specificEpithet], R97)</f>
        <v>2</v>
      </c>
      <c r="AA97">
        <v>95</v>
      </c>
      <c r="AB97" t="s">
        <v>976</v>
      </c>
      <c r="AC97">
        <v>1</v>
      </c>
    </row>
    <row r="98" spans="7:29" x14ac:dyDescent="0.25">
      <c r="G98" t="s">
        <v>598</v>
      </c>
      <c r="H98">
        <v>1</v>
      </c>
      <c r="K98" s="4">
        <v>97</v>
      </c>
      <c r="L98" t="str">
        <v>Pyrrhula</v>
      </c>
      <c r="N98">
        <f>COUNTIF(tblDati[genus], L98)</f>
        <v>3</v>
      </c>
      <c r="O98">
        <v>4</v>
      </c>
      <c r="Q98">
        <v>97</v>
      </c>
      <c r="R98" t="str">
        <v>nigricollis</v>
      </c>
      <c r="T98">
        <f>COUNTIF(tblDati[specificEpithet], R98)</f>
        <v>1</v>
      </c>
      <c r="AA98">
        <v>96</v>
      </c>
      <c r="AB98" t="s">
        <v>933</v>
      </c>
      <c r="AC98">
        <v>1</v>
      </c>
    </row>
    <row r="99" spans="7:29" x14ac:dyDescent="0.25">
      <c r="G99" t="s">
        <v>741</v>
      </c>
      <c r="H99">
        <v>1</v>
      </c>
      <c r="K99" s="4">
        <v>98</v>
      </c>
      <c r="L99" t="str">
        <v>Rallus</v>
      </c>
      <c r="N99">
        <f>COUNTIF(tblDati[genus], L99)</f>
        <v>4</v>
      </c>
      <c r="O99">
        <v>2</v>
      </c>
      <c r="Q99">
        <v>98</v>
      </c>
      <c r="R99" t="str">
        <v>nisus</v>
      </c>
      <c r="T99">
        <f>COUNTIF(tblDati[specificEpithet], R99)</f>
        <v>5</v>
      </c>
      <c r="AA99">
        <v>97</v>
      </c>
      <c r="AB99" t="s">
        <v>985</v>
      </c>
      <c r="AC99">
        <v>1</v>
      </c>
    </row>
    <row r="100" spans="7:29" x14ac:dyDescent="0.25">
      <c r="G100" t="s">
        <v>610</v>
      </c>
      <c r="H100">
        <v>1</v>
      </c>
      <c r="K100" s="4">
        <v>99</v>
      </c>
      <c r="L100" t="str">
        <v>Ramphastos</v>
      </c>
      <c r="N100">
        <f>COUNTIF(tblDati[genus], L100)</f>
        <v>2</v>
      </c>
      <c r="O100">
        <v>2</v>
      </c>
      <c r="Q100">
        <v>99</v>
      </c>
      <c r="R100" t="str">
        <v>noctua</v>
      </c>
      <c r="T100">
        <f>COUNTIF(tblDati[specificEpithet], R100)</f>
        <v>3</v>
      </c>
      <c r="AA100">
        <v>98</v>
      </c>
      <c r="AB100" t="s">
        <v>988</v>
      </c>
      <c r="AC100">
        <v>1</v>
      </c>
    </row>
    <row r="101" spans="7:29" x14ac:dyDescent="0.25">
      <c r="G101" t="s">
        <v>668</v>
      </c>
      <c r="H101">
        <v>1</v>
      </c>
      <c r="K101" s="4">
        <v>100</v>
      </c>
      <c r="L101" t="str">
        <v>Recurvirostra</v>
      </c>
      <c r="N101">
        <f>COUNTIF(tblDati[genus], L101)</f>
        <v>2</v>
      </c>
      <c r="O101">
        <v>2</v>
      </c>
      <c r="Q101">
        <v>100</v>
      </c>
      <c r="R101" t="str">
        <v>nycticorax</v>
      </c>
      <c r="T101">
        <f>COUNTIF(tblDati[specificEpithet], R101)</f>
        <v>3</v>
      </c>
      <c r="AA101">
        <v>99</v>
      </c>
      <c r="AB101" t="s">
        <v>959</v>
      </c>
      <c r="AC101">
        <v>1</v>
      </c>
    </row>
    <row r="102" spans="7:29" x14ac:dyDescent="0.25">
      <c r="G102" t="s">
        <v>757</v>
      </c>
      <c r="H102">
        <v>1</v>
      </c>
      <c r="K102" s="4">
        <v>101</v>
      </c>
      <c r="L102" t="str">
        <v>Regulus</v>
      </c>
      <c r="N102">
        <f>COUNTIF(tblDati[genus], L102)</f>
        <v>2</v>
      </c>
      <c r="O102">
        <v>2</v>
      </c>
      <c r="Q102">
        <v>101</v>
      </c>
      <c r="R102" t="str">
        <v>nyroca</v>
      </c>
      <c r="T102">
        <f>COUNTIF(tblDati[specificEpithet], R102)</f>
        <v>2</v>
      </c>
      <c r="AA102">
        <v>100</v>
      </c>
      <c r="AB102" t="s">
        <v>913</v>
      </c>
      <c r="AC102">
        <v>1</v>
      </c>
    </row>
    <row r="103" spans="7:29" x14ac:dyDescent="0.25">
      <c r="G103" t="s">
        <v>615</v>
      </c>
      <c r="H103">
        <v>1</v>
      </c>
      <c r="K103" s="4">
        <v>102</v>
      </c>
      <c r="L103" t="str">
        <v>Rhynchotus</v>
      </c>
      <c r="N103">
        <f>COUNTIF(tblDati[genus], L103)</f>
        <v>1</v>
      </c>
      <c r="O103">
        <v>1</v>
      </c>
      <c r="Q103">
        <v>102</v>
      </c>
      <c r="R103" t="str">
        <v>ochruros</v>
      </c>
      <c r="T103">
        <f>COUNTIF(tblDati[specificEpithet], R103)</f>
        <v>1</v>
      </c>
      <c r="AA103">
        <v>101</v>
      </c>
      <c r="AB103" t="s">
        <v>956</v>
      </c>
      <c r="AC103">
        <v>1</v>
      </c>
    </row>
    <row r="104" spans="7:29" x14ac:dyDescent="0.25">
      <c r="G104" t="s">
        <v>369</v>
      </c>
      <c r="H104">
        <v>1</v>
      </c>
      <c r="K104" s="4">
        <v>103</v>
      </c>
      <c r="L104" t="str">
        <v>Rissa</v>
      </c>
      <c r="N104">
        <f>COUNTIF(tblDati[genus], L104)</f>
        <v>1</v>
      </c>
      <c r="O104">
        <v>2</v>
      </c>
      <c r="Q104">
        <v>103</v>
      </c>
      <c r="R104" t="str">
        <v>oenanthe</v>
      </c>
      <c r="T104">
        <f>COUNTIF(tblDati[specificEpithet], R104)</f>
        <v>1</v>
      </c>
      <c r="AA104">
        <v>102</v>
      </c>
      <c r="AB104" t="s">
        <v>914</v>
      </c>
      <c r="AC104">
        <v>1</v>
      </c>
    </row>
    <row r="105" spans="7:29" x14ac:dyDescent="0.25">
      <c r="G105" t="s">
        <v>732</v>
      </c>
      <c r="H105">
        <v>1</v>
      </c>
      <c r="K105" s="4">
        <v>104</v>
      </c>
      <c r="L105" t="str">
        <v>Saxicola</v>
      </c>
      <c r="N105">
        <f>COUNTIF(tblDati[genus], L105)</f>
        <v>2</v>
      </c>
      <c r="O105">
        <v>1</v>
      </c>
      <c r="Q105">
        <v>104</v>
      </c>
      <c r="R105" t="str">
        <v>oriolus</v>
      </c>
      <c r="T105">
        <f>COUNTIF(tblDati[specificEpithet], R105)</f>
        <v>3</v>
      </c>
      <c r="AA105">
        <v>103</v>
      </c>
      <c r="AB105" t="s">
        <v>969</v>
      </c>
      <c r="AC105">
        <v>1</v>
      </c>
    </row>
    <row r="106" spans="7:29" x14ac:dyDescent="0.25">
      <c r="G106" t="s">
        <v>648</v>
      </c>
      <c r="H106">
        <v>1</v>
      </c>
      <c r="K106" s="4">
        <v>105</v>
      </c>
      <c r="L106" t="str">
        <v>Scolopax</v>
      </c>
      <c r="N106">
        <f>COUNTIF(tblDati[genus], L106)</f>
        <v>1</v>
      </c>
      <c r="O106">
        <v>1</v>
      </c>
      <c r="Q106">
        <v>105</v>
      </c>
      <c r="R106" t="str">
        <v>otus</v>
      </c>
      <c r="T106">
        <f>COUNTIF(tblDati[specificEpithet], R106)</f>
        <v>1</v>
      </c>
      <c r="AA106">
        <v>104</v>
      </c>
      <c r="AB106" t="s">
        <v>992</v>
      </c>
      <c r="AC106">
        <v>1</v>
      </c>
    </row>
    <row r="107" spans="7:29" x14ac:dyDescent="0.25">
      <c r="G107" t="s">
        <v>117</v>
      </c>
      <c r="H107">
        <v>1</v>
      </c>
      <c r="K107" s="4">
        <v>106</v>
      </c>
      <c r="L107" t="str">
        <v>Serinus</v>
      </c>
      <c r="N107">
        <f>COUNTIF(tblDati[genus], L107)</f>
        <v>1</v>
      </c>
      <c r="O107">
        <v>1</v>
      </c>
      <c r="Q107">
        <v>106</v>
      </c>
      <c r="R107" t="str">
        <v>palumbus</v>
      </c>
      <c r="T107">
        <f>COUNTIF(tblDati[specificEpithet], R107)</f>
        <v>2</v>
      </c>
      <c r="AA107">
        <v>105</v>
      </c>
      <c r="AB107" t="s">
        <v>935</v>
      </c>
      <c r="AC107">
        <v>1</v>
      </c>
    </row>
    <row r="108" spans="7:29" x14ac:dyDescent="0.25">
      <c r="G108" t="s">
        <v>786</v>
      </c>
      <c r="H108">
        <v>1</v>
      </c>
      <c r="K108" s="4">
        <v>107</v>
      </c>
      <c r="L108" t="str">
        <v>Sitta</v>
      </c>
      <c r="N108">
        <f>COUNTIF(tblDati[genus], L108)</f>
        <v>1</v>
      </c>
      <c r="O108">
        <v>6</v>
      </c>
      <c r="Q108">
        <v>107</v>
      </c>
      <c r="R108" t="str">
        <v>palustris</v>
      </c>
      <c r="T108">
        <f>COUNTIF(tblDati[specificEpithet], R108)</f>
        <v>1</v>
      </c>
      <c r="AA108">
        <v>106</v>
      </c>
      <c r="AB108" t="s">
        <v>920</v>
      </c>
      <c r="AC108">
        <v>1</v>
      </c>
    </row>
    <row r="109" spans="7:29" x14ac:dyDescent="0.25">
      <c r="G109" t="s">
        <v>363</v>
      </c>
      <c r="H109">
        <v>1</v>
      </c>
      <c r="K109" s="4">
        <v>108</v>
      </c>
      <c r="L109" t="str">
        <v>Spatula</v>
      </c>
      <c r="N109">
        <f>COUNTIF(tblDati[genus], L109)</f>
        <v>6</v>
      </c>
      <c r="O109">
        <v>1</v>
      </c>
      <c r="Q109">
        <v>108</v>
      </c>
      <c r="R109" t="str">
        <v>passerinum</v>
      </c>
      <c r="T109">
        <f>COUNTIF(tblDati[specificEpithet], R109)</f>
        <v>1</v>
      </c>
      <c r="AA109">
        <v>107</v>
      </c>
      <c r="AB109" t="s">
        <v>973</v>
      </c>
      <c r="AC109">
        <v>1</v>
      </c>
    </row>
    <row r="110" spans="7:29" x14ac:dyDescent="0.25">
      <c r="G110" t="s">
        <v>294</v>
      </c>
      <c r="H110">
        <v>1</v>
      </c>
      <c r="K110" s="4">
        <v>109</v>
      </c>
      <c r="L110" t="str">
        <v>Sternula</v>
      </c>
      <c r="N110">
        <f>COUNTIF(tblDati[genus], L110)</f>
        <v>1</v>
      </c>
      <c r="O110">
        <v>2</v>
      </c>
      <c r="Q110">
        <v>109</v>
      </c>
      <c r="R110" t="str">
        <v>penelope</v>
      </c>
      <c r="T110">
        <f>COUNTIF(tblDati[specificEpithet], R110)</f>
        <v>4</v>
      </c>
      <c r="AA110">
        <v>108</v>
      </c>
      <c r="AB110" t="s">
        <v>919</v>
      </c>
      <c r="AC110">
        <v>1</v>
      </c>
    </row>
    <row r="111" spans="7:29" x14ac:dyDescent="0.25">
      <c r="G111" t="s">
        <v>579</v>
      </c>
      <c r="H111">
        <v>1</v>
      </c>
      <c r="K111" s="4">
        <v>110</v>
      </c>
      <c r="L111" t="str">
        <v>Streptopelia</v>
      </c>
      <c r="N111">
        <f>COUNTIF(tblDati[genus], L111)</f>
        <v>2</v>
      </c>
      <c r="O111">
        <v>3</v>
      </c>
      <c r="Q111">
        <v>110</v>
      </c>
      <c r="R111" t="str">
        <v>perdix</v>
      </c>
      <c r="T111">
        <f>COUNTIF(tblDati[specificEpithet], R111)</f>
        <v>1</v>
      </c>
      <c r="AA111">
        <v>109</v>
      </c>
      <c r="AB111" t="s">
        <v>926</v>
      </c>
      <c r="AC111">
        <v>1</v>
      </c>
    </row>
    <row r="112" spans="7:29" x14ac:dyDescent="0.25">
      <c r="K112" s="4">
        <v>111</v>
      </c>
      <c r="L112" t="str">
        <v>Strix</v>
      </c>
      <c r="N112">
        <f>COUNTIF(tblDati[genus], L112)</f>
        <v>3</v>
      </c>
      <c r="O112">
        <v>5</v>
      </c>
      <c r="Q112">
        <v>111</v>
      </c>
      <c r="R112" t="str">
        <v>philomelos</v>
      </c>
      <c r="T112">
        <f>COUNTIF(tblDati[specificEpithet], R112)</f>
        <v>2</v>
      </c>
      <c r="AA112">
        <v>110</v>
      </c>
      <c r="AB112" t="s">
        <v>980</v>
      </c>
      <c r="AC112">
        <v>1</v>
      </c>
    </row>
    <row r="113" spans="11:29" x14ac:dyDescent="0.25">
      <c r="K113" s="4">
        <v>112</v>
      </c>
      <c r="L113" t="str">
        <v>Sturnus</v>
      </c>
      <c r="N113">
        <f>COUNTIF(tblDati[genus], L113)</f>
        <v>5</v>
      </c>
      <c r="O113">
        <v>6</v>
      </c>
      <c r="Q113">
        <v>112</v>
      </c>
      <c r="R113" t="str">
        <v>phoenicurus</v>
      </c>
      <c r="T113">
        <f>COUNTIF(tblDati[specificEpithet], R113)</f>
        <v>3</v>
      </c>
      <c r="AA113">
        <v>111</v>
      </c>
      <c r="AB113" t="s">
        <v>962</v>
      </c>
      <c r="AC113">
        <v>1</v>
      </c>
    </row>
    <row r="114" spans="11:29" x14ac:dyDescent="0.25">
      <c r="K114" s="4">
        <v>113</v>
      </c>
      <c r="L114" t="str">
        <v>Sylvia</v>
      </c>
      <c r="N114">
        <f>COUNTIF(tblDati[genus], L114)</f>
        <v>6</v>
      </c>
      <c r="O114">
        <v>1</v>
      </c>
      <c r="Q114">
        <v>113</v>
      </c>
      <c r="R114" t="str">
        <v>pica</v>
      </c>
      <c r="T114">
        <f>COUNTIF(tblDati[specificEpithet], R114)</f>
        <v>4</v>
      </c>
      <c r="AA114">
        <v>112</v>
      </c>
      <c r="AB114" t="s">
        <v>948</v>
      </c>
      <c r="AC114">
        <v>1</v>
      </c>
    </row>
    <row r="115" spans="11:29" x14ac:dyDescent="0.25">
      <c r="K115" s="4">
        <v>114</v>
      </c>
      <c r="L115" t="str">
        <v>Tachybaptus</v>
      </c>
      <c r="N115">
        <f>COUNTIF(tblDati[genus], L115)</f>
        <v>1</v>
      </c>
      <c r="O115">
        <v>1</v>
      </c>
      <c r="Q115">
        <v>114</v>
      </c>
      <c r="R115" t="str">
        <v>platyrhynchos</v>
      </c>
      <c r="T115">
        <f>COUNTIF(tblDati[specificEpithet], R115)</f>
        <v>5</v>
      </c>
      <c r="AA115">
        <v>113</v>
      </c>
      <c r="AB115" t="s">
        <v>929</v>
      </c>
      <c r="AC115">
        <v>1</v>
      </c>
    </row>
    <row r="116" spans="11:29" x14ac:dyDescent="0.25">
      <c r="K116" s="4">
        <v>115</v>
      </c>
      <c r="L116" t="str">
        <v>Trichoglossus</v>
      </c>
      <c r="N116">
        <f>COUNTIF(tblDati[genus], L116)</f>
        <v>1</v>
      </c>
      <c r="O116">
        <v>4</v>
      </c>
      <c r="Q116">
        <v>115</v>
      </c>
      <c r="R116" t="str">
        <v>pugnax</v>
      </c>
      <c r="T116">
        <f>COUNTIF(tblDati[specificEpithet], R116)</f>
        <v>4</v>
      </c>
      <c r="AA116">
        <v>114</v>
      </c>
      <c r="AB116" t="s">
        <v>986</v>
      </c>
      <c r="AC116">
        <v>1</v>
      </c>
    </row>
    <row r="117" spans="11:29" x14ac:dyDescent="0.25">
      <c r="K117" s="4">
        <v>116</v>
      </c>
      <c r="L117" t="str">
        <v>Tringa</v>
      </c>
      <c r="N117">
        <f>COUNTIF(tblDati[genus], L117)</f>
        <v>4</v>
      </c>
      <c r="O117">
        <v>1</v>
      </c>
      <c r="Q117">
        <v>116</v>
      </c>
      <c r="R117" t="str">
        <v>purpurea</v>
      </c>
      <c r="T117">
        <f>COUNTIF(tblDati[specificEpithet], R117)</f>
        <v>5</v>
      </c>
      <c r="AA117">
        <v>115</v>
      </c>
      <c r="AB117" t="s">
        <v>982</v>
      </c>
      <c r="AC117">
        <v>1</v>
      </c>
    </row>
    <row r="118" spans="11:29" x14ac:dyDescent="0.25">
      <c r="K118" s="4">
        <v>117</v>
      </c>
      <c r="L118" t="str">
        <v>Trochilidaesp.</v>
      </c>
      <c r="N118">
        <f>COUNTIF(tblDati[genus], L118)</f>
        <v>1</v>
      </c>
      <c r="O118">
        <v>2</v>
      </c>
      <c r="Q118">
        <v>117</v>
      </c>
      <c r="R118" t="str">
        <v>pyrrhocorax</v>
      </c>
      <c r="T118">
        <f>COUNTIF(tblDati[specificEpithet], R118)</f>
        <v>1</v>
      </c>
      <c r="AA118">
        <v>116</v>
      </c>
      <c r="AB118" t="s">
        <v>944</v>
      </c>
      <c r="AC118">
        <v>1</v>
      </c>
    </row>
    <row r="119" spans="11:29" x14ac:dyDescent="0.25">
      <c r="K119" s="4">
        <v>118</v>
      </c>
      <c r="L119" t="str">
        <v>Troglodytes</v>
      </c>
      <c r="N119">
        <f>COUNTIF(tblDati[genus], L119)</f>
        <v>2</v>
      </c>
      <c r="O119">
        <v>7</v>
      </c>
      <c r="Q119">
        <v>118</v>
      </c>
      <c r="R119" t="str">
        <v>pyrrhula</v>
      </c>
      <c r="T119">
        <f>COUNTIF(tblDati[specificEpithet], R119)</f>
        <v>3</v>
      </c>
      <c r="AA119">
        <v>117</v>
      </c>
      <c r="AB119" t="s">
        <v>915</v>
      </c>
      <c r="AC119">
        <v>1</v>
      </c>
    </row>
    <row r="120" spans="11:29" x14ac:dyDescent="0.25">
      <c r="K120" s="4">
        <v>119</v>
      </c>
      <c r="L120" t="str">
        <v>Turdus</v>
      </c>
      <c r="N120">
        <f>COUNTIF(tblDati[genus], L120)</f>
        <v>7</v>
      </c>
      <c r="O120">
        <v>1</v>
      </c>
      <c r="Q120">
        <v>119</v>
      </c>
      <c r="R120" t="str">
        <v>querquedula</v>
      </c>
      <c r="T120">
        <f>COUNTIF(tblDati[specificEpithet], R120)</f>
        <v>3</v>
      </c>
      <c r="AA120">
        <v>118</v>
      </c>
      <c r="AB120" t="s">
        <v>118</v>
      </c>
      <c r="AC120">
        <v>1</v>
      </c>
    </row>
    <row r="121" spans="11:29" x14ac:dyDescent="0.25">
      <c r="K121" s="4">
        <v>120</v>
      </c>
      <c r="L121" t="str">
        <v>Tyto</v>
      </c>
      <c r="N121">
        <f>COUNTIF(tblDati[genus], L121)</f>
        <v>1</v>
      </c>
      <c r="O121">
        <v>4</v>
      </c>
      <c r="Q121">
        <v>120</v>
      </c>
      <c r="R121" t="str">
        <v>regulus</v>
      </c>
      <c r="T121">
        <f>COUNTIF(tblDati[specificEpithet], R121)</f>
        <v>2</v>
      </c>
      <c r="AA121">
        <v>119</v>
      </c>
      <c r="AB121" t="s">
        <v>884</v>
      </c>
      <c r="AC121">
        <v>1</v>
      </c>
    </row>
    <row r="122" spans="11:29" x14ac:dyDescent="0.25">
      <c r="K122" s="4">
        <v>121</v>
      </c>
      <c r="L122" t="str">
        <v>Upupa</v>
      </c>
      <c r="N122">
        <f>COUNTIF(tblDati[genus], L122)</f>
        <v>4</v>
      </c>
      <c r="O122">
        <v>1</v>
      </c>
      <c r="Q122">
        <v>121</v>
      </c>
      <c r="R122" t="str">
        <v>ridibundus</v>
      </c>
      <c r="T122">
        <f>COUNTIF(tblDati[specificEpithet], R122)</f>
        <v>1</v>
      </c>
      <c r="AA122">
        <v>120</v>
      </c>
      <c r="AB122" t="s">
        <v>950</v>
      </c>
      <c r="AC122">
        <v>1</v>
      </c>
    </row>
    <row r="123" spans="11:29" x14ac:dyDescent="0.25">
      <c r="K123" s="4">
        <v>122</v>
      </c>
      <c r="L123" t="str">
        <v>Vanellus</v>
      </c>
      <c r="N123">
        <f>COUNTIF(tblDati[genus], L123)</f>
        <v>1</v>
      </c>
      <c r="O123">
        <f>SUM(O2:O122)</f>
        <v>297</v>
      </c>
      <c r="Q123">
        <v>122</v>
      </c>
      <c r="R123" t="str">
        <v>roseus</v>
      </c>
      <c r="T123">
        <f>COUNTIF(tblDati[specificEpithet], R123)</f>
        <v>1</v>
      </c>
      <c r="AA123">
        <v>121</v>
      </c>
      <c r="AB123" t="s">
        <v>925</v>
      </c>
      <c r="AC123">
        <v>1</v>
      </c>
    </row>
    <row r="124" spans="11:29" x14ac:dyDescent="0.25">
      <c r="K124" s="4"/>
      <c r="Q124">
        <v>123</v>
      </c>
      <c r="R124" t="str">
        <v>rubecula</v>
      </c>
      <c r="T124">
        <f>COUNTIF(tblDati[specificEpithet], R124)</f>
        <v>2</v>
      </c>
      <c r="AC124" s="4">
        <f>SUM(AC3:AC123)</f>
        <v>297</v>
      </c>
    </row>
    <row r="125" spans="11:29" x14ac:dyDescent="0.25">
      <c r="K125" s="4"/>
      <c r="N125">
        <f>SUM(N2:N124)</f>
        <v>297</v>
      </c>
      <c r="Q125">
        <v>124</v>
      </c>
      <c r="R125" t="str">
        <v>rubetra</v>
      </c>
      <c r="T125">
        <f>COUNTIF(tblDati[specificEpithet], R125)</f>
        <v>1</v>
      </c>
    </row>
    <row r="126" spans="11:29" x14ac:dyDescent="0.25">
      <c r="K126" s="4"/>
      <c r="L126" t="s">
        <v>907</v>
      </c>
      <c r="M126">
        <v>9</v>
      </c>
      <c r="Q126">
        <v>125</v>
      </c>
      <c r="R126" t="str">
        <v>rufescens</v>
      </c>
      <c r="T126">
        <f>COUNTIF(tblDati[specificEpithet], R126)</f>
        <v>1</v>
      </c>
    </row>
    <row r="127" spans="11:29" x14ac:dyDescent="0.25">
      <c r="L127" t="s">
        <v>147</v>
      </c>
      <c r="M127">
        <v>9</v>
      </c>
      <c r="Q127">
        <v>126</v>
      </c>
      <c r="R127" t="str">
        <v>ruficollis</v>
      </c>
      <c r="T127">
        <f>COUNTIF(tblDati[specificEpithet], R127)</f>
        <v>1</v>
      </c>
    </row>
    <row r="128" spans="11:29" x14ac:dyDescent="0.25">
      <c r="L128" t="s">
        <v>893</v>
      </c>
      <c r="M128">
        <v>8</v>
      </c>
      <c r="Q128">
        <v>127</v>
      </c>
      <c r="R128" t="str">
        <v>rufina</v>
      </c>
      <c r="T128">
        <f>COUNTIF(tblDati[specificEpithet], R128)</f>
        <v>1</v>
      </c>
    </row>
    <row r="129" spans="12:20" x14ac:dyDescent="0.25">
      <c r="L129" t="s">
        <v>968</v>
      </c>
      <c r="M129">
        <v>7</v>
      </c>
      <c r="Q129">
        <v>128</v>
      </c>
      <c r="R129" t="str">
        <v>rustica</v>
      </c>
      <c r="T129">
        <f>COUNTIF(tblDati[specificEpithet], R129)</f>
        <v>1</v>
      </c>
    </row>
    <row r="130" spans="12:20" x14ac:dyDescent="0.25">
      <c r="L130" t="s">
        <v>900</v>
      </c>
      <c r="M130">
        <v>6</v>
      </c>
      <c r="Q130">
        <v>129</v>
      </c>
      <c r="R130" t="str">
        <v>rusticola</v>
      </c>
      <c r="T130">
        <f>COUNTIF(tblDati[specificEpithet], R130)</f>
        <v>1</v>
      </c>
    </row>
    <row r="131" spans="12:20" x14ac:dyDescent="0.25">
      <c r="L131" t="s">
        <v>906</v>
      </c>
      <c r="M131">
        <v>6</v>
      </c>
      <c r="Q131">
        <v>130</v>
      </c>
      <c r="R131" t="str">
        <v>scops</v>
      </c>
      <c r="T131">
        <f>COUNTIF(tblDati[specificEpithet], R131)</f>
        <v>2</v>
      </c>
    </row>
    <row r="132" spans="12:20" x14ac:dyDescent="0.25">
      <c r="L132" t="s">
        <v>156</v>
      </c>
      <c r="M132">
        <v>6</v>
      </c>
      <c r="Q132">
        <v>131</v>
      </c>
      <c r="R132" t="str">
        <v>senator</v>
      </c>
      <c r="T132">
        <f>COUNTIF(tblDati[specificEpithet], R132)</f>
        <v>1</v>
      </c>
    </row>
    <row r="133" spans="12:20" x14ac:dyDescent="0.25">
      <c r="L133" t="s">
        <v>908</v>
      </c>
      <c r="M133">
        <v>6</v>
      </c>
      <c r="Q133">
        <v>132</v>
      </c>
      <c r="R133" t="str">
        <v>serinus</v>
      </c>
      <c r="T133">
        <f>COUNTIF(tblDati[specificEpithet], R133)</f>
        <v>1</v>
      </c>
    </row>
    <row r="134" spans="12:20" x14ac:dyDescent="0.25">
      <c r="L134" t="s">
        <v>894</v>
      </c>
      <c r="M134">
        <v>5</v>
      </c>
      <c r="Q134">
        <v>133</v>
      </c>
      <c r="R134" t="str">
        <v>serrator</v>
      </c>
      <c r="T134">
        <f>COUNTIF(tblDati[specificEpithet], R134)</f>
        <v>2</v>
      </c>
    </row>
    <row r="135" spans="12:20" x14ac:dyDescent="0.25">
      <c r="L135" t="s">
        <v>890</v>
      </c>
      <c r="M135">
        <v>5</v>
      </c>
      <c r="Q135">
        <v>134</v>
      </c>
      <c r="R135" t="str">
        <v>sibilatrix</v>
      </c>
      <c r="T135">
        <f>COUNTIF(tblDati[specificEpithet], R135)</f>
        <v>1</v>
      </c>
    </row>
    <row r="136" spans="12:20" x14ac:dyDescent="0.25">
      <c r="L136" t="s">
        <v>927</v>
      </c>
      <c r="M136">
        <v>5</v>
      </c>
      <c r="Q136">
        <v>135</v>
      </c>
      <c r="R136" t="str">
        <v>solitarius</v>
      </c>
      <c r="T136">
        <f>COUNTIF(tblDati[specificEpithet], R136)</f>
        <v>1</v>
      </c>
    </row>
    <row r="137" spans="12:20" x14ac:dyDescent="0.25">
      <c r="L137" t="s">
        <v>134</v>
      </c>
      <c r="M137">
        <v>5</v>
      </c>
      <c r="Q137">
        <v>136</v>
      </c>
      <c r="R137" t="str">
        <v>stellaris</v>
      </c>
      <c r="T137">
        <f>COUNTIF(tblDati[specificEpithet], R137)</f>
        <v>1</v>
      </c>
    </row>
    <row r="138" spans="12:20" x14ac:dyDescent="0.25">
      <c r="L138" t="s">
        <v>963</v>
      </c>
      <c r="M138">
        <v>5</v>
      </c>
      <c r="Q138">
        <v>137</v>
      </c>
      <c r="R138" t="str">
        <v>stellata</v>
      </c>
      <c r="T138">
        <f>COUNTIF(tblDati[specificEpithet], R138)</f>
        <v>2</v>
      </c>
    </row>
    <row r="139" spans="12:20" x14ac:dyDescent="0.25">
      <c r="L139" t="s">
        <v>87</v>
      </c>
      <c r="M139">
        <v>5</v>
      </c>
      <c r="Q139">
        <v>138</v>
      </c>
      <c r="R139" t="str">
        <v>subbuteo</v>
      </c>
      <c r="T139">
        <f>COUNTIF(tblDati[specificEpithet], R139)</f>
        <v>3</v>
      </c>
    </row>
    <row r="140" spans="12:20" x14ac:dyDescent="0.25">
      <c r="L140" t="s">
        <v>991</v>
      </c>
      <c r="M140">
        <v>5</v>
      </c>
      <c r="Q140">
        <v>139</v>
      </c>
      <c r="R140" t="str">
        <v>tinnunculus</v>
      </c>
      <c r="T140">
        <f>COUNTIF(tblDati[specificEpithet], R140)</f>
        <v>4</v>
      </c>
    </row>
    <row r="141" spans="12:20" x14ac:dyDescent="0.25">
      <c r="L141" t="s">
        <v>972</v>
      </c>
      <c r="M141">
        <v>5</v>
      </c>
      <c r="Q141">
        <v>140</v>
      </c>
      <c r="R141" t="str">
        <v>torquatus</v>
      </c>
      <c r="T141">
        <f>COUNTIF(tblDati[specificEpithet], R141)</f>
        <v>2</v>
      </c>
    </row>
    <row r="142" spans="12:20" x14ac:dyDescent="0.25">
      <c r="L142" t="s">
        <v>163</v>
      </c>
      <c r="M142">
        <v>4</v>
      </c>
      <c r="Q142">
        <v>141</v>
      </c>
      <c r="R142" t="str">
        <v>torquilla</v>
      </c>
      <c r="T142">
        <f>COUNTIF(tblDati[specificEpithet], R142)</f>
        <v>4</v>
      </c>
    </row>
    <row r="143" spans="12:20" x14ac:dyDescent="0.25">
      <c r="L143" t="s">
        <v>993</v>
      </c>
      <c r="M143">
        <v>4</v>
      </c>
      <c r="Q143">
        <v>142</v>
      </c>
      <c r="R143" t="str">
        <v>totanus</v>
      </c>
      <c r="T143">
        <f>COUNTIF(tblDati[specificEpithet], R143)</f>
        <v>1</v>
      </c>
    </row>
    <row r="144" spans="12:20" x14ac:dyDescent="0.25">
      <c r="L144" t="s">
        <v>888</v>
      </c>
      <c r="M144">
        <v>4</v>
      </c>
      <c r="Q144">
        <v>143</v>
      </c>
      <c r="R144" t="str">
        <v>tridactyla</v>
      </c>
      <c r="T144">
        <f>COUNTIF(tblDati[specificEpithet], R144)</f>
        <v>1</v>
      </c>
    </row>
    <row r="145" spans="12:20" x14ac:dyDescent="0.25">
      <c r="L145" t="s">
        <v>64</v>
      </c>
      <c r="M145">
        <v>4</v>
      </c>
      <c r="Q145">
        <v>144</v>
      </c>
      <c r="R145" t="str">
        <v>trivialis</v>
      </c>
      <c r="T145">
        <f>COUNTIF(tblDati[specificEpithet], R145)</f>
        <v>1</v>
      </c>
    </row>
    <row r="146" spans="12:20" x14ac:dyDescent="0.25">
      <c r="L146" t="s">
        <v>886</v>
      </c>
      <c r="M146">
        <v>4</v>
      </c>
      <c r="Q146">
        <v>145</v>
      </c>
      <c r="R146" t="str">
        <v>troglodytes</v>
      </c>
      <c r="T146">
        <f>COUNTIF(tblDati[specificEpithet], R146)</f>
        <v>2</v>
      </c>
    </row>
    <row r="147" spans="12:20" x14ac:dyDescent="0.25">
      <c r="L147" t="s">
        <v>905</v>
      </c>
      <c r="M147">
        <v>4</v>
      </c>
      <c r="Q147">
        <v>146</v>
      </c>
      <c r="R147" t="str">
        <v>turtur</v>
      </c>
      <c r="T147">
        <f>COUNTIF(tblDati[specificEpithet], R147)</f>
        <v>2</v>
      </c>
    </row>
    <row r="148" spans="12:20" x14ac:dyDescent="0.25">
      <c r="L148" t="s">
        <v>891</v>
      </c>
      <c r="M148">
        <v>4</v>
      </c>
      <c r="Q148">
        <v>147</v>
      </c>
      <c r="R148" t="str">
        <v>vanellus</v>
      </c>
      <c r="T148">
        <f>COUNTIF(tblDati[specificEpithet], R148)</f>
        <v>1</v>
      </c>
    </row>
    <row r="149" spans="12:20" x14ac:dyDescent="0.25">
      <c r="L149" t="s">
        <v>958</v>
      </c>
      <c r="M149">
        <v>4</v>
      </c>
      <c r="Q149">
        <v>148</v>
      </c>
      <c r="R149" t="str">
        <v>vestita</v>
      </c>
      <c r="T149">
        <f>COUNTIF(tblDati[specificEpithet], R149)</f>
        <v>1</v>
      </c>
    </row>
    <row r="150" spans="12:20" x14ac:dyDescent="0.25">
      <c r="L150" t="s">
        <v>95</v>
      </c>
      <c r="M150">
        <v>4</v>
      </c>
      <c r="Q150">
        <v>149</v>
      </c>
      <c r="R150" t="str">
        <v>viridis</v>
      </c>
      <c r="T150">
        <f>COUNTIF(tblDati[specificEpithet], R150)</f>
        <v>3</v>
      </c>
    </row>
    <row r="151" spans="12:20" x14ac:dyDescent="0.25">
      <c r="L151" t="s">
        <v>895</v>
      </c>
      <c r="M151">
        <v>4</v>
      </c>
      <c r="Q151">
        <v>150</v>
      </c>
      <c r="R151" t="str">
        <v>vulgaris</v>
      </c>
      <c r="T151">
        <f>COUNTIF(tblDati[specificEpithet], R151)</f>
        <v>5</v>
      </c>
    </row>
    <row r="152" spans="12:20" x14ac:dyDescent="0.25">
      <c r="L152" t="s">
        <v>930</v>
      </c>
      <c r="M152">
        <v>4</v>
      </c>
    </row>
    <row r="153" spans="12:20" x14ac:dyDescent="0.25">
      <c r="L153" t="s">
        <v>954</v>
      </c>
      <c r="M153">
        <v>4</v>
      </c>
      <c r="T153">
        <f>SUM(T2:T152)</f>
        <v>296</v>
      </c>
    </row>
    <row r="154" spans="12:20" x14ac:dyDescent="0.25">
      <c r="L154" t="s">
        <v>952</v>
      </c>
      <c r="M154">
        <v>3</v>
      </c>
    </row>
    <row r="155" spans="12:20" x14ac:dyDescent="0.25">
      <c r="L155" t="s">
        <v>901</v>
      </c>
      <c r="M155">
        <v>3</v>
      </c>
    </row>
    <row r="156" spans="12:20" x14ac:dyDescent="0.25">
      <c r="L156" t="s">
        <v>940</v>
      </c>
      <c r="M156">
        <v>3</v>
      </c>
    </row>
    <row r="157" spans="12:20" x14ac:dyDescent="0.25">
      <c r="L157" t="s">
        <v>977</v>
      </c>
      <c r="M157">
        <v>3</v>
      </c>
    </row>
    <row r="158" spans="12:20" x14ac:dyDescent="0.25">
      <c r="L158" t="s">
        <v>892</v>
      </c>
      <c r="M158">
        <v>3</v>
      </c>
    </row>
    <row r="159" spans="12:20" x14ac:dyDescent="0.25">
      <c r="L159" t="s">
        <v>990</v>
      </c>
      <c r="M159">
        <v>3</v>
      </c>
    </row>
    <row r="160" spans="12:20" x14ac:dyDescent="0.25">
      <c r="L160" t="s">
        <v>936</v>
      </c>
      <c r="M160">
        <v>3</v>
      </c>
    </row>
    <row r="161" spans="12:13" x14ac:dyDescent="0.25">
      <c r="L161" t="s">
        <v>941</v>
      </c>
      <c r="M161">
        <v>3</v>
      </c>
    </row>
    <row r="162" spans="12:13" x14ac:dyDescent="0.25">
      <c r="L162" t="s">
        <v>896</v>
      </c>
      <c r="M162">
        <v>3</v>
      </c>
    </row>
    <row r="163" spans="12:13" x14ac:dyDescent="0.25">
      <c r="L163" t="s">
        <v>928</v>
      </c>
      <c r="M163">
        <v>3</v>
      </c>
    </row>
    <row r="164" spans="12:13" x14ac:dyDescent="0.25">
      <c r="L164" t="s">
        <v>899</v>
      </c>
      <c r="M164">
        <v>3</v>
      </c>
    </row>
    <row r="165" spans="12:13" x14ac:dyDescent="0.25">
      <c r="L165" t="s">
        <v>889</v>
      </c>
      <c r="M165">
        <v>3</v>
      </c>
    </row>
    <row r="166" spans="12:13" x14ac:dyDescent="0.25">
      <c r="L166" t="s">
        <v>885</v>
      </c>
      <c r="M166">
        <v>3</v>
      </c>
    </row>
    <row r="167" spans="12:13" x14ac:dyDescent="0.25">
      <c r="L167" t="s">
        <v>898</v>
      </c>
      <c r="M167">
        <v>3</v>
      </c>
    </row>
    <row r="168" spans="12:13" x14ac:dyDescent="0.25">
      <c r="L168" t="s">
        <v>989</v>
      </c>
      <c r="M168">
        <v>3</v>
      </c>
    </row>
    <row r="169" spans="12:13" x14ac:dyDescent="0.25">
      <c r="L169" t="s">
        <v>903</v>
      </c>
      <c r="M169">
        <v>3</v>
      </c>
    </row>
    <row r="170" spans="12:13" x14ac:dyDescent="0.25">
      <c r="L170" t="s">
        <v>967</v>
      </c>
      <c r="M170">
        <v>2</v>
      </c>
    </row>
    <row r="171" spans="12:13" x14ac:dyDescent="0.25">
      <c r="L171" t="s">
        <v>957</v>
      </c>
      <c r="M171">
        <v>2</v>
      </c>
    </row>
    <row r="172" spans="12:13" x14ac:dyDescent="0.25">
      <c r="L172" t="s">
        <v>911</v>
      </c>
      <c r="M172">
        <v>2</v>
      </c>
    </row>
    <row r="173" spans="12:13" x14ac:dyDescent="0.25">
      <c r="L173" t="s">
        <v>938</v>
      </c>
      <c r="M173">
        <v>2</v>
      </c>
    </row>
    <row r="174" spans="12:13" x14ac:dyDescent="0.25">
      <c r="L174" t="s">
        <v>902</v>
      </c>
      <c r="M174">
        <v>2</v>
      </c>
    </row>
    <row r="175" spans="12:13" x14ac:dyDescent="0.25">
      <c r="L175" t="s">
        <v>924</v>
      </c>
      <c r="M175">
        <v>2</v>
      </c>
    </row>
    <row r="176" spans="12:13" x14ac:dyDescent="0.25">
      <c r="L176" t="s">
        <v>945</v>
      </c>
      <c r="M176">
        <v>2</v>
      </c>
    </row>
    <row r="177" spans="12:13" x14ac:dyDescent="0.25">
      <c r="L177" t="s">
        <v>987</v>
      </c>
      <c r="M177">
        <v>2</v>
      </c>
    </row>
    <row r="178" spans="12:13" x14ac:dyDescent="0.25">
      <c r="L178" t="s">
        <v>961</v>
      </c>
      <c r="M178">
        <v>2</v>
      </c>
    </row>
    <row r="179" spans="12:13" x14ac:dyDescent="0.25">
      <c r="L179" t="s">
        <v>983</v>
      </c>
      <c r="M179">
        <v>2</v>
      </c>
    </row>
    <row r="180" spans="12:13" x14ac:dyDescent="0.25">
      <c r="L180" t="s">
        <v>943</v>
      </c>
      <c r="M180">
        <v>2</v>
      </c>
    </row>
    <row r="181" spans="12:13" x14ac:dyDescent="0.25">
      <c r="L181" t="s">
        <v>887</v>
      </c>
      <c r="M181">
        <v>2</v>
      </c>
    </row>
    <row r="182" spans="12:13" x14ac:dyDescent="0.25">
      <c r="L182" t="s">
        <v>897</v>
      </c>
      <c r="M182">
        <v>2</v>
      </c>
    </row>
    <row r="183" spans="12:13" x14ac:dyDescent="0.25">
      <c r="L183" t="s">
        <v>916</v>
      </c>
      <c r="M183">
        <v>2</v>
      </c>
    </row>
    <row r="184" spans="12:13" x14ac:dyDescent="0.25">
      <c r="L184" t="s">
        <v>934</v>
      </c>
      <c r="M184">
        <v>2</v>
      </c>
    </row>
    <row r="185" spans="12:13" x14ac:dyDescent="0.25">
      <c r="L185" t="s">
        <v>912</v>
      </c>
      <c r="M185">
        <v>2</v>
      </c>
    </row>
    <row r="186" spans="12:13" x14ac:dyDescent="0.25">
      <c r="L186" t="s">
        <v>937</v>
      </c>
      <c r="M186">
        <v>2</v>
      </c>
    </row>
    <row r="187" spans="12:13" x14ac:dyDescent="0.25">
      <c r="L187" t="s">
        <v>99</v>
      </c>
      <c r="M187">
        <v>2</v>
      </c>
    </row>
    <row r="188" spans="12:13" x14ac:dyDescent="0.25">
      <c r="L188" t="s">
        <v>931</v>
      </c>
      <c r="M188">
        <v>2</v>
      </c>
    </row>
    <row r="189" spans="12:13" x14ac:dyDescent="0.25">
      <c r="L189" t="s">
        <v>904</v>
      </c>
      <c r="M189">
        <v>2</v>
      </c>
    </row>
    <row r="190" spans="12:13" x14ac:dyDescent="0.25">
      <c r="L190" t="s">
        <v>127</v>
      </c>
      <c r="M190">
        <v>2</v>
      </c>
    </row>
    <row r="191" spans="12:13" x14ac:dyDescent="0.25">
      <c r="L191" t="s">
        <v>922</v>
      </c>
      <c r="M191">
        <v>2</v>
      </c>
    </row>
    <row r="192" spans="12:13" x14ac:dyDescent="0.25">
      <c r="L192" t="s">
        <v>974</v>
      </c>
      <c r="M192">
        <v>2</v>
      </c>
    </row>
    <row r="193" spans="12:13" x14ac:dyDescent="0.25">
      <c r="L193" t="s">
        <v>970</v>
      </c>
      <c r="M193">
        <v>2</v>
      </c>
    </row>
    <row r="194" spans="12:13" x14ac:dyDescent="0.25">
      <c r="L194" t="s">
        <v>942</v>
      </c>
      <c r="M194">
        <v>2</v>
      </c>
    </row>
    <row r="195" spans="12:13" x14ac:dyDescent="0.25">
      <c r="L195" t="s">
        <v>960</v>
      </c>
      <c r="M195">
        <v>2</v>
      </c>
    </row>
    <row r="196" spans="12:13" x14ac:dyDescent="0.25">
      <c r="L196" t="s">
        <v>932</v>
      </c>
      <c r="M196">
        <v>1</v>
      </c>
    </row>
    <row r="197" spans="12:13" x14ac:dyDescent="0.25">
      <c r="L197" t="s">
        <v>979</v>
      </c>
      <c r="M197">
        <v>1</v>
      </c>
    </row>
    <row r="198" spans="12:13" x14ac:dyDescent="0.25">
      <c r="L198" t="s">
        <v>921</v>
      </c>
      <c r="M198">
        <v>1</v>
      </c>
    </row>
    <row r="199" spans="12:13" x14ac:dyDescent="0.25">
      <c r="L199" t="s">
        <v>965</v>
      </c>
      <c r="M199">
        <v>1</v>
      </c>
    </row>
    <row r="200" spans="12:13" x14ac:dyDescent="0.25">
      <c r="L200" t="s">
        <v>953</v>
      </c>
      <c r="M200">
        <v>1</v>
      </c>
    </row>
    <row r="201" spans="12:13" x14ac:dyDescent="0.25">
      <c r="L201" t="s">
        <v>939</v>
      </c>
      <c r="M201">
        <v>1</v>
      </c>
    </row>
    <row r="202" spans="12:13" x14ac:dyDescent="0.25">
      <c r="L202" t="s">
        <v>918</v>
      </c>
      <c r="M202">
        <v>1</v>
      </c>
    </row>
    <row r="203" spans="12:13" x14ac:dyDescent="0.25">
      <c r="L203" t="s">
        <v>984</v>
      </c>
      <c r="M203">
        <v>1</v>
      </c>
    </row>
    <row r="204" spans="12:13" x14ac:dyDescent="0.25">
      <c r="L204" t="s">
        <v>975</v>
      </c>
      <c r="M204">
        <v>1</v>
      </c>
    </row>
    <row r="205" spans="12:13" x14ac:dyDescent="0.25">
      <c r="L205" t="s">
        <v>946</v>
      </c>
      <c r="M205">
        <v>1</v>
      </c>
    </row>
    <row r="206" spans="12:13" x14ac:dyDescent="0.25">
      <c r="L206" t="s">
        <v>955</v>
      </c>
      <c r="M206">
        <v>1</v>
      </c>
    </row>
    <row r="207" spans="12:13" x14ac:dyDescent="0.25">
      <c r="L207" t="s">
        <v>971</v>
      </c>
      <c r="M207">
        <v>1</v>
      </c>
    </row>
    <row r="208" spans="12:13" x14ac:dyDescent="0.25">
      <c r="L208" t="s">
        <v>981</v>
      </c>
      <c r="M208">
        <v>1</v>
      </c>
    </row>
    <row r="209" spans="12:13" x14ac:dyDescent="0.25">
      <c r="L209" t="s">
        <v>917</v>
      </c>
      <c r="M209">
        <v>1</v>
      </c>
    </row>
    <row r="210" spans="12:13" x14ac:dyDescent="0.25">
      <c r="L210" t="s">
        <v>110</v>
      </c>
      <c r="M210">
        <v>1</v>
      </c>
    </row>
    <row r="211" spans="12:13" x14ac:dyDescent="0.25">
      <c r="L211" t="s">
        <v>978</v>
      </c>
      <c r="M211">
        <v>1</v>
      </c>
    </row>
    <row r="212" spans="12:13" x14ac:dyDescent="0.25">
      <c r="L212" t="s">
        <v>964</v>
      </c>
      <c r="M212">
        <v>1</v>
      </c>
    </row>
    <row r="213" spans="12:13" x14ac:dyDescent="0.25">
      <c r="L213" t="s">
        <v>951</v>
      </c>
      <c r="M213">
        <v>1</v>
      </c>
    </row>
    <row r="214" spans="12:13" x14ac:dyDescent="0.25">
      <c r="L214" t="s">
        <v>923</v>
      </c>
      <c r="M214">
        <v>1</v>
      </c>
    </row>
    <row r="215" spans="12:13" x14ac:dyDescent="0.25">
      <c r="L215" t="s">
        <v>966</v>
      </c>
      <c r="M215">
        <v>1</v>
      </c>
    </row>
    <row r="216" spans="12:13" x14ac:dyDescent="0.25">
      <c r="L216" t="s">
        <v>947</v>
      </c>
      <c r="M216">
        <v>1</v>
      </c>
    </row>
    <row r="217" spans="12:13" x14ac:dyDescent="0.25">
      <c r="L217" t="s">
        <v>949</v>
      </c>
      <c r="M217">
        <v>1</v>
      </c>
    </row>
    <row r="218" spans="12:13" x14ac:dyDescent="0.25">
      <c r="L218" t="s">
        <v>976</v>
      </c>
      <c r="M218">
        <v>1</v>
      </c>
    </row>
    <row r="219" spans="12:13" x14ac:dyDescent="0.25">
      <c r="L219" t="s">
        <v>933</v>
      </c>
      <c r="M219">
        <v>1</v>
      </c>
    </row>
    <row r="220" spans="12:13" x14ac:dyDescent="0.25">
      <c r="L220" t="s">
        <v>985</v>
      </c>
      <c r="M220">
        <v>1</v>
      </c>
    </row>
    <row r="221" spans="12:13" x14ac:dyDescent="0.25">
      <c r="L221" t="s">
        <v>988</v>
      </c>
      <c r="M221">
        <v>1</v>
      </c>
    </row>
    <row r="222" spans="12:13" x14ac:dyDescent="0.25">
      <c r="L222" t="s">
        <v>959</v>
      </c>
      <c r="M222">
        <v>1</v>
      </c>
    </row>
    <row r="223" spans="12:13" x14ac:dyDescent="0.25">
      <c r="L223" t="s">
        <v>913</v>
      </c>
      <c r="M223">
        <v>1</v>
      </c>
    </row>
    <row r="224" spans="12:13" x14ac:dyDescent="0.25">
      <c r="L224" t="s">
        <v>956</v>
      </c>
      <c r="M224">
        <v>1</v>
      </c>
    </row>
    <row r="225" spans="12:13" x14ac:dyDescent="0.25">
      <c r="L225" t="s">
        <v>914</v>
      </c>
      <c r="M225">
        <v>1</v>
      </c>
    </row>
    <row r="226" spans="12:13" x14ac:dyDescent="0.25">
      <c r="L226" t="s">
        <v>969</v>
      </c>
      <c r="M226">
        <v>1</v>
      </c>
    </row>
    <row r="227" spans="12:13" x14ac:dyDescent="0.25">
      <c r="L227" t="s">
        <v>992</v>
      </c>
      <c r="M227">
        <v>1</v>
      </c>
    </row>
    <row r="228" spans="12:13" x14ac:dyDescent="0.25">
      <c r="L228" t="s">
        <v>935</v>
      </c>
      <c r="M228">
        <v>1</v>
      </c>
    </row>
    <row r="229" spans="12:13" x14ac:dyDescent="0.25">
      <c r="L229" t="s">
        <v>920</v>
      </c>
      <c r="M229">
        <v>1</v>
      </c>
    </row>
    <row r="230" spans="12:13" x14ac:dyDescent="0.25">
      <c r="L230" t="s">
        <v>973</v>
      </c>
      <c r="M230">
        <v>1</v>
      </c>
    </row>
    <row r="231" spans="12:13" x14ac:dyDescent="0.25">
      <c r="L231" t="s">
        <v>919</v>
      </c>
      <c r="M231">
        <v>1</v>
      </c>
    </row>
    <row r="232" spans="12:13" x14ac:dyDescent="0.25">
      <c r="L232" t="s">
        <v>926</v>
      </c>
      <c r="M232">
        <v>1</v>
      </c>
    </row>
    <row r="233" spans="12:13" x14ac:dyDescent="0.25">
      <c r="L233" t="s">
        <v>980</v>
      </c>
      <c r="M233">
        <v>1</v>
      </c>
    </row>
    <row r="234" spans="12:13" x14ac:dyDescent="0.25">
      <c r="L234" t="s">
        <v>962</v>
      </c>
      <c r="M234">
        <v>1</v>
      </c>
    </row>
    <row r="235" spans="12:13" x14ac:dyDescent="0.25">
      <c r="L235" t="s">
        <v>910</v>
      </c>
      <c r="M235">
        <v>1</v>
      </c>
    </row>
    <row r="236" spans="12:13" x14ac:dyDescent="0.25">
      <c r="L236" t="s">
        <v>948</v>
      </c>
      <c r="M236">
        <v>1</v>
      </c>
    </row>
    <row r="237" spans="12:13" x14ac:dyDescent="0.25">
      <c r="L237" t="s">
        <v>929</v>
      </c>
      <c r="M237">
        <v>1</v>
      </c>
    </row>
    <row r="238" spans="12:13" x14ac:dyDescent="0.25">
      <c r="L238" t="s">
        <v>986</v>
      </c>
      <c r="M238">
        <v>1</v>
      </c>
    </row>
    <row r="239" spans="12:13" x14ac:dyDescent="0.25">
      <c r="L239" t="s">
        <v>982</v>
      </c>
      <c r="M239">
        <v>1</v>
      </c>
    </row>
    <row r="240" spans="12:13" x14ac:dyDescent="0.25">
      <c r="L240" t="s">
        <v>944</v>
      </c>
      <c r="M240">
        <v>1</v>
      </c>
    </row>
    <row r="241" spans="12:13" x14ac:dyDescent="0.25">
      <c r="L241" t="s">
        <v>915</v>
      </c>
      <c r="M241">
        <v>1</v>
      </c>
    </row>
    <row r="242" spans="12:13" x14ac:dyDescent="0.25">
      <c r="L242" t="s">
        <v>118</v>
      </c>
      <c r="M242">
        <v>1</v>
      </c>
    </row>
    <row r="243" spans="12:13" x14ac:dyDescent="0.25">
      <c r="L243" t="s">
        <v>884</v>
      </c>
      <c r="M243">
        <v>1</v>
      </c>
    </row>
    <row r="244" spans="12:13" x14ac:dyDescent="0.25">
      <c r="L244" t="s">
        <v>950</v>
      </c>
      <c r="M244">
        <v>1</v>
      </c>
    </row>
    <row r="245" spans="12:13" x14ac:dyDescent="0.25">
      <c r="L245" t="s">
        <v>925</v>
      </c>
      <c r="M245">
        <v>1</v>
      </c>
    </row>
  </sheetData>
  <sortState xmlns:xlrd2="http://schemas.microsoft.com/office/spreadsheetml/2017/richdata2" ref="AB3:AC123">
    <sortCondition descending="1" ref="AC3:AC123"/>
  </sortState>
  <mergeCells count="6">
    <mergeCell ref="V1:W1"/>
    <mergeCell ref="V2:W2"/>
    <mergeCell ref="Y1:Z1"/>
    <mergeCell ref="AB1:AC1"/>
    <mergeCell ref="AB2:AC2"/>
    <mergeCell ref="Y2:Z2"/>
  </mergeCells>
  <dataValidations count="1">
    <dataValidation type="list" allowBlank="1" showInputMessage="1" showErrorMessage="1" sqref="C2 M2 H2" xr:uid="{9995DA50-985C-4829-806C-2CDAD2C033B5}">
      <formula1>_xlfn.ANCHORARRAY(B2)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9DA4-237B-4337-87DB-6465DF19B956}">
  <sheetPr codeName="Foglio3"/>
  <dimension ref="A3:BD19"/>
  <sheetViews>
    <sheetView workbookViewId="0">
      <selection activeCell="B12" sqref="B12:B17"/>
    </sheetView>
  </sheetViews>
  <sheetFormatPr defaultRowHeight="15" x14ac:dyDescent="0.25"/>
  <cols>
    <col min="1" max="1" width="18.7109375" bestFit="1" customWidth="1"/>
    <col min="2" max="2" width="21.5703125" bestFit="1" customWidth="1"/>
    <col min="3" max="3" width="7.140625" bestFit="1" customWidth="1"/>
    <col min="4" max="4" width="9" bestFit="1" customWidth="1"/>
    <col min="5" max="5" width="5.28515625" bestFit="1" customWidth="1"/>
    <col min="6" max="6" width="6.140625" bestFit="1" customWidth="1"/>
    <col min="7" max="7" width="7.42578125" bestFit="1" customWidth="1"/>
    <col min="8" max="8" width="7" bestFit="1" customWidth="1"/>
    <col min="9" max="9" width="5.5703125" bestFit="1" customWidth="1"/>
    <col min="10" max="10" width="6.28515625" bestFit="1" customWidth="1"/>
    <col min="11" max="11" width="8" bestFit="1" customWidth="1"/>
    <col min="12" max="12" width="7.7109375" bestFit="1" customWidth="1"/>
    <col min="13" max="13" width="10.85546875" bestFit="1" customWidth="1"/>
    <col min="14" max="14" width="6.85546875" bestFit="1" customWidth="1"/>
    <col min="15" max="15" width="15.42578125" bestFit="1" customWidth="1"/>
    <col min="16" max="16" width="8.5703125" bestFit="1" customWidth="1"/>
    <col min="17" max="17" width="7.42578125" bestFit="1" customWidth="1"/>
    <col min="18" max="18" width="8.85546875" bestFit="1" customWidth="1"/>
    <col min="19" max="19" width="8.42578125" bestFit="1" customWidth="1"/>
    <col min="20" max="20" width="13.28515625" bestFit="1" customWidth="1"/>
    <col min="21" max="21" width="11.140625" bestFit="1" customWidth="1"/>
    <col min="22" max="23" width="9.42578125" bestFit="1" customWidth="1"/>
    <col min="24" max="24" width="8.140625" bestFit="1" customWidth="1"/>
    <col min="25" max="25" width="6.28515625" bestFit="1" customWidth="1"/>
    <col min="26" max="26" width="8.5703125" bestFit="1" customWidth="1"/>
    <col min="27" max="27" width="9.42578125" bestFit="1" customWidth="1"/>
    <col min="28" max="28" width="9" bestFit="1" customWidth="1"/>
    <col min="29" max="29" width="8.7109375" bestFit="1" customWidth="1"/>
    <col min="30" max="30" width="11.28515625" bestFit="1" customWidth="1"/>
    <col min="31" max="31" width="12" bestFit="1" customWidth="1"/>
    <col min="32" max="32" width="8.28515625" bestFit="1" customWidth="1"/>
    <col min="33" max="33" width="5.7109375" bestFit="1" customWidth="1"/>
    <col min="34" max="34" width="9.85546875" bestFit="1" customWidth="1"/>
    <col min="35" max="35" width="10.28515625" bestFit="1" customWidth="1"/>
    <col min="36" max="36" width="7.5703125" bestFit="1" customWidth="1"/>
    <col min="37" max="37" width="7" bestFit="1" customWidth="1"/>
    <col min="38" max="38" width="6.7109375" bestFit="1" customWidth="1"/>
    <col min="39" max="39" width="4.7109375" bestFit="1" customWidth="1"/>
    <col min="40" max="40" width="5.85546875" bestFit="1" customWidth="1"/>
    <col min="41" max="41" width="9.28515625" bestFit="1" customWidth="1"/>
    <col min="42" max="42" width="8.42578125" bestFit="1" customWidth="1"/>
    <col min="43" max="43" width="6.5703125" bestFit="1" customWidth="1"/>
    <col min="44" max="44" width="12.140625" bestFit="1" customWidth="1"/>
    <col min="45" max="45" width="11.7109375" bestFit="1" customWidth="1"/>
    <col min="46" max="46" width="7.7109375" bestFit="1" customWidth="1"/>
    <col min="47" max="47" width="12.140625" bestFit="1" customWidth="1"/>
    <col min="48" max="48" width="8" bestFit="1" customWidth="1"/>
    <col min="49" max="49" width="6.28515625" bestFit="1" customWidth="1"/>
    <col min="50" max="50" width="13.5703125" bestFit="1" customWidth="1"/>
    <col min="51" max="51" width="6.42578125" bestFit="1" customWidth="1"/>
    <col min="52" max="52" width="13.85546875" bestFit="1" customWidth="1"/>
    <col min="53" max="53" width="7.140625" bestFit="1" customWidth="1"/>
    <col min="54" max="54" width="4.85546875" bestFit="1" customWidth="1"/>
    <col min="55" max="55" width="6.7109375" bestFit="1" customWidth="1"/>
    <col min="56" max="56" width="18.7109375" bestFit="1" customWidth="1"/>
    <col min="57" max="57" width="8.28515625" bestFit="1" customWidth="1"/>
    <col min="58" max="58" width="5.140625" bestFit="1" customWidth="1"/>
    <col min="59" max="59" width="7.7109375" bestFit="1" customWidth="1"/>
    <col min="60" max="60" width="5.140625" bestFit="1" customWidth="1"/>
    <col min="61" max="61" width="8" bestFit="1" customWidth="1"/>
    <col min="62" max="62" width="6.28515625" bestFit="1" customWidth="1"/>
    <col min="63" max="63" width="11.5703125" bestFit="1" customWidth="1"/>
    <col min="64" max="64" width="7.140625" bestFit="1" customWidth="1"/>
    <col min="65" max="65" width="6.7109375" bestFit="1" customWidth="1"/>
    <col min="66" max="66" width="8.7109375" bestFit="1" customWidth="1"/>
    <col min="67" max="67" width="7.5703125" bestFit="1" customWidth="1"/>
    <col min="68" max="68" width="18.7109375" bestFit="1" customWidth="1"/>
    <col min="69" max="69" width="7.5703125" bestFit="1" customWidth="1"/>
    <col min="70" max="70" width="18.7109375" bestFit="1" customWidth="1"/>
    <col min="71" max="71" width="7.7109375" bestFit="1" customWidth="1"/>
    <col min="72" max="72" width="6.85546875" bestFit="1" customWidth="1"/>
    <col min="73" max="73" width="9.85546875" bestFit="1" customWidth="1"/>
    <col min="74" max="74" width="6" bestFit="1" customWidth="1"/>
    <col min="75" max="75" width="9.5703125" bestFit="1" customWidth="1"/>
    <col min="76" max="76" width="10.28515625" bestFit="1" customWidth="1"/>
    <col min="77" max="77" width="10.5703125" bestFit="1" customWidth="1"/>
    <col min="78" max="78" width="9.85546875" bestFit="1" customWidth="1"/>
    <col min="79" max="79" width="7.5703125" bestFit="1" customWidth="1"/>
    <col min="80" max="80" width="5.28515625" bestFit="1" customWidth="1"/>
    <col min="81" max="81" width="6" bestFit="1" customWidth="1"/>
    <col min="82" max="82" width="7" bestFit="1" customWidth="1"/>
    <col min="83" max="85" width="6.7109375" bestFit="1" customWidth="1"/>
    <col min="86" max="86" width="13.7109375" bestFit="1" customWidth="1"/>
    <col min="87" max="87" width="12.28515625" bestFit="1" customWidth="1"/>
    <col min="88" max="88" width="13.140625" bestFit="1" customWidth="1"/>
    <col min="89" max="89" width="4.7109375" bestFit="1" customWidth="1"/>
    <col min="90" max="90" width="5.85546875" bestFit="1" customWidth="1"/>
    <col min="91" max="92" width="8.5703125" bestFit="1" customWidth="1"/>
    <col min="93" max="93" width="9.28515625" bestFit="1" customWidth="1"/>
    <col min="94" max="94" width="7.7109375" bestFit="1" customWidth="1"/>
    <col min="95" max="95" width="8.42578125" bestFit="1" customWidth="1"/>
    <col min="96" max="96" width="11.7109375" bestFit="1" customWidth="1"/>
    <col min="97" max="97" width="8.42578125" bestFit="1" customWidth="1"/>
    <col min="98" max="98" width="6.5703125" bestFit="1" customWidth="1"/>
    <col min="99" max="99" width="12.140625" bestFit="1" customWidth="1"/>
    <col min="100" max="100" width="13.28515625" bestFit="1" customWidth="1"/>
    <col min="101" max="101" width="8.28515625" bestFit="1" customWidth="1"/>
    <col min="102" max="102" width="11.7109375" bestFit="1" customWidth="1"/>
    <col min="103" max="103" width="5.85546875" bestFit="1" customWidth="1"/>
    <col min="104" max="104" width="8.42578125" bestFit="1" customWidth="1"/>
    <col min="106" max="106" width="7.85546875" bestFit="1" customWidth="1"/>
    <col min="107" max="107" width="5.140625" bestFit="1" customWidth="1"/>
    <col min="108" max="108" width="7.7109375" bestFit="1" customWidth="1"/>
    <col min="109" max="109" width="8.5703125" bestFit="1" customWidth="1"/>
    <col min="110" max="110" width="12.140625" bestFit="1" customWidth="1"/>
    <col min="111" max="111" width="5.140625" bestFit="1" customWidth="1"/>
    <col min="112" max="112" width="8" bestFit="1" customWidth="1"/>
    <col min="113" max="113" width="6.28515625" bestFit="1" customWidth="1"/>
    <col min="114" max="114" width="12.28515625" bestFit="1" customWidth="1"/>
    <col min="115" max="115" width="13.5703125" bestFit="1" customWidth="1"/>
    <col min="116" max="116" width="6.42578125" bestFit="1" customWidth="1"/>
    <col min="117" max="117" width="13.85546875" bestFit="1" customWidth="1"/>
    <col min="118" max="118" width="11.5703125" bestFit="1" customWidth="1"/>
    <col min="119" max="119" width="7.140625" bestFit="1" customWidth="1"/>
    <col min="120" max="120" width="4.85546875" bestFit="1" customWidth="1"/>
    <col min="121" max="121" width="6.7109375" bestFit="1" customWidth="1"/>
    <col min="122" max="122" width="8.7109375" bestFit="1" customWidth="1"/>
    <col min="123" max="123" width="7.5703125" bestFit="1" customWidth="1"/>
    <col min="124" max="124" width="18.7109375" bestFit="1" customWidth="1"/>
  </cols>
  <sheetData>
    <row r="3" spans="1:56" x14ac:dyDescent="0.25">
      <c r="A3" s="5" t="s">
        <v>998</v>
      </c>
      <c r="B3" s="5" t="s">
        <v>997</v>
      </c>
    </row>
    <row r="4" spans="1:56" x14ac:dyDescent="0.25">
      <c r="A4" s="5" t="s">
        <v>994</v>
      </c>
      <c r="B4" t="s">
        <v>967</v>
      </c>
      <c r="C4" t="s">
        <v>957</v>
      </c>
      <c r="D4" t="s">
        <v>911</v>
      </c>
      <c r="E4" t="s">
        <v>907</v>
      </c>
      <c r="F4" t="s">
        <v>900</v>
      </c>
      <c r="G4" t="s">
        <v>901</v>
      </c>
      <c r="H4" t="s">
        <v>906</v>
      </c>
      <c r="I4" t="s">
        <v>902</v>
      </c>
      <c r="J4" t="s">
        <v>890</v>
      </c>
      <c r="K4" t="s">
        <v>927</v>
      </c>
      <c r="L4" t="s">
        <v>977</v>
      </c>
      <c r="M4" t="s">
        <v>924</v>
      </c>
      <c r="N4" t="s">
        <v>892</v>
      </c>
      <c r="O4" t="s">
        <v>990</v>
      </c>
      <c r="P4" t="s">
        <v>983</v>
      </c>
      <c r="Q4" t="s">
        <v>134</v>
      </c>
      <c r="R4" t="s">
        <v>936</v>
      </c>
      <c r="S4" t="s">
        <v>941</v>
      </c>
      <c r="T4" t="s">
        <v>163</v>
      </c>
      <c r="U4" t="s">
        <v>110</v>
      </c>
      <c r="V4" t="s">
        <v>887</v>
      </c>
      <c r="W4" t="s">
        <v>909</v>
      </c>
      <c r="X4" t="s">
        <v>888</v>
      </c>
      <c r="Y4" t="s">
        <v>896</v>
      </c>
      <c r="Z4" t="s">
        <v>964</v>
      </c>
      <c r="AA4" t="s">
        <v>928</v>
      </c>
      <c r="AB4" t="s">
        <v>897</v>
      </c>
      <c r="AC4" t="s">
        <v>64</v>
      </c>
      <c r="AD4" t="s">
        <v>951</v>
      </c>
      <c r="AE4" t="s">
        <v>923</v>
      </c>
      <c r="AF4" t="s">
        <v>966</v>
      </c>
      <c r="AG4" t="s">
        <v>988</v>
      </c>
      <c r="AH4" t="s">
        <v>963</v>
      </c>
      <c r="AI4" t="s">
        <v>931</v>
      </c>
      <c r="AJ4" t="s">
        <v>889</v>
      </c>
      <c r="AK4" t="s">
        <v>147</v>
      </c>
      <c r="AL4" t="s">
        <v>891</v>
      </c>
      <c r="AM4" t="s">
        <v>95</v>
      </c>
      <c r="AN4" t="s">
        <v>885</v>
      </c>
      <c r="AO4" t="s">
        <v>898</v>
      </c>
      <c r="AP4" t="s">
        <v>962</v>
      </c>
      <c r="AQ4" t="s">
        <v>895</v>
      </c>
      <c r="AR4" t="s">
        <v>127</v>
      </c>
      <c r="AS4" t="s">
        <v>910</v>
      </c>
      <c r="AT4" t="s">
        <v>908</v>
      </c>
      <c r="AU4" t="s">
        <v>942</v>
      </c>
      <c r="AV4" t="s">
        <v>991</v>
      </c>
      <c r="AW4" t="s">
        <v>972</v>
      </c>
      <c r="AX4" t="s">
        <v>118</v>
      </c>
      <c r="AY4" t="s">
        <v>930</v>
      </c>
      <c r="AZ4" t="s">
        <v>884</v>
      </c>
      <c r="BA4" t="s">
        <v>968</v>
      </c>
      <c r="BB4" t="s">
        <v>950</v>
      </c>
      <c r="BC4" t="s">
        <v>954</v>
      </c>
      <c r="BD4" t="s">
        <v>996</v>
      </c>
    </row>
    <row r="5" spans="1:56" x14ac:dyDescent="0.25">
      <c r="A5" s="6" t="s">
        <v>995</v>
      </c>
      <c r="B5">
        <v>2</v>
      </c>
      <c r="C5">
        <v>1</v>
      </c>
      <c r="D5">
        <v>1</v>
      </c>
      <c r="E5">
        <v>5</v>
      </c>
      <c r="F5">
        <v>2</v>
      </c>
      <c r="G5">
        <v>1</v>
      </c>
      <c r="H5">
        <v>2</v>
      </c>
      <c r="I5">
        <v>1</v>
      </c>
      <c r="J5">
        <v>1</v>
      </c>
      <c r="K5">
        <v>1</v>
      </c>
      <c r="L5">
        <v>1</v>
      </c>
      <c r="M5">
        <v>2</v>
      </c>
      <c r="N5">
        <v>1</v>
      </c>
      <c r="O5">
        <v>1</v>
      </c>
      <c r="P5">
        <v>1</v>
      </c>
      <c r="Q5">
        <v>1</v>
      </c>
      <c r="R5">
        <v>1</v>
      </c>
      <c r="S5">
        <v>1</v>
      </c>
      <c r="T5">
        <v>1</v>
      </c>
      <c r="U5">
        <v>1</v>
      </c>
      <c r="V5">
        <v>1</v>
      </c>
      <c r="W5">
        <v>1</v>
      </c>
      <c r="X5">
        <v>1</v>
      </c>
      <c r="Y5">
        <v>1</v>
      </c>
      <c r="Z5">
        <v>1</v>
      </c>
      <c r="AA5">
        <v>1</v>
      </c>
      <c r="AB5">
        <v>1</v>
      </c>
      <c r="AC5">
        <v>2</v>
      </c>
      <c r="AD5">
        <v>1</v>
      </c>
      <c r="AE5">
        <v>1</v>
      </c>
      <c r="AF5">
        <v>1</v>
      </c>
      <c r="AG5">
        <v>1</v>
      </c>
      <c r="AH5">
        <v>1</v>
      </c>
      <c r="AI5">
        <v>1</v>
      </c>
      <c r="AJ5">
        <v>1</v>
      </c>
      <c r="AK5">
        <v>2</v>
      </c>
      <c r="AL5">
        <v>1</v>
      </c>
      <c r="AM5">
        <v>1</v>
      </c>
      <c r="AN5">
        <v>1</v>
      </c>
      <c r="AO5">
        <v>1</v>
      </c>
      <c r="AP5">
        <v>1</v>
      </c>
      <c r="AQ5">
        <v>1</v>
      </c>
      <c r="AR5">
        <v>2</v>
      </c>
      <c r="AS5">
        <v>1</v>
      </c>
      <c r="AT5">
        <v>1</v>
      </c>
      <c r="AU5">
        <v>1</v>
      </c>
      <c r="AV5">
        <v>1</v>
      </c>
      <c r="AW5">
        <v>1</v>
      </c>
      <c r="AX5">
        <v>1</v>
      </c>
      <c r="AY5">
        <v>3</v>
      </c>
      <c r="AZ5">
        <v>1</v>
      </c>
      <c r="BA5">
        <v>3</v>
      </c>
      <c r="BB5">
        <v>1</v>
      </c>
      <c r="BC5">
        <v>1</v>
      </c>
      <c r="BD5">
        <v>69</v>
      </c>
    </row>
    <row r="6" spans="1:56" x14ac:dyDescent="0.25">
      <c r="A6" s="6" t="s">
        <v>996</v>
      </c>
      <c r="B6">
        <v>2</v>
      </c>
      <c r="C6">
        <v>1</v>
      </c>
      <c r="D6">
        <v>1</v>
      </c>
      <c r="E6">
        <v>5</v>
      </c>
      <c r="F6">
        <v>2</v>
      </c>
      <c r="G6">
        <v>1</v>
      </c>
      <c r="H6">
        <v>2</v>
      </c>
      <c r="I6">
        <v>1</v>
      </c>
      <c r="J6">
        <v>1</v>
      </c>
      <c r="K6">
        <v>1</v>
      </c>
      <c r="L6">
        <v>1</v>
      </c>
      <c r="M6">
        <v>2</v>
      </c>
      <c r="N6">
        <v>1</v>
      </c>
      <c r="O6">
        <v>1</v>
      </c>
      <c r="P6">
        <v>1</v>
      </c>
      <c r="Q6">
        <v>1</v>
      </c>
      <c r="R6">
        <v>1</v>
      </c>
      <c r="S6">
        <v>1</v>
      </c>
      <c r="T6">
        <v>1</v>
      </c>
      <c r="U6">
        <v>1</v>
      </c>
      <c r="V6">
        <v>1</v>
      </c>
      <c r="W6">
        <v>1</v>
      </c>
      <c r="X6">
        <v>1</v>
      </c>
      <c r="Y6">
        <v>1</v>
      </c>
      <c r="Z6">
        <v>1</v>
      </c>
      <c r="AA6">
        <v>1</v>
      </c>
      <c r="AB6">
        <v>1</v>
      </c>
      <c r="AC6">
        <v>2</v>
      </c>
      <c r="AD6">
        <v>1</v>
      </c>
      <c r="AE6">
        <v>1</v>
      </c>
      <c r="AF6">
        <v>1</v>
      </c>
      <c r="AG6">
        <v>1</v>
      </c>
      <c r="AH6">
        <v>1</v>
      </c>
      <c r="AI6">
        <v>1</v>
      </c>
      <c r="AJ6">
        <v>1</v>
      </c>
      <c r="AK6">
        <v>2</v>
      </c>
      <c r="AL6">
        <v>1</v>
      </c>
      <c r="AM6">
        <v>1</v>
      </c>
      <c r="AN6">
        <v>1</v>
      </c>
      <c r="AO6">
        <v>1</v>
      </c>
      <c r="AP6">
        <v>1</v>
      </c>
      <c r="AQ6">
        <v>1</v>
      </c>
      <c r="AR6">
        <v>2</v>
      </c>
      <c r="AS6">
        <v>1</v>
      </c>
      <c r="AT6">
        <v>1</v>
      </c>
      <c r="AU6">
        <v>1</v>
      </c>
      <c r="AV6">
        <v>1</v>
      </c>
      <c r="AW6">
        <v>1</v>
      </c>
      <c r="AX6">
        <v>1</v>
      </c>
      <c r="AY6">
        <v>3</v>
      </c>
      <c r="AZ6">
        <v>1</v>
      </c>
      <c r="BA6">
        <v>3</v>
      </c>
      <c r="BB6">
        <v>1</v>
      </c>
      <c r="BC6">
        <v>1</v>
      </c>
      <c r="BD6">
        <v>69</v>
      </c>
    </row>
    <row r="11" spans="1:56" x14ac:dyDescent="0.25">
      <c r="B11" s="8" t="s">
        <v>1000</v>
      </c>
    </row>
    <row r="12" spans="1:56" x14ac:dyDescent="0.25">
      <c r="A12" t="s">
        <v>75</v>
      </c>
      <c r="B12">
        <v>93</v>
      </c>
    </row>
    <row r="13" spans="1:56" x14ac:dyDescent="0.25">
      <c r="A13" t="s">
        <v>717</v>
      </c>
      <c r="B13">
        <v>1</v>
      </c>
    </row>
    <row r="14" spans="1:56" x14ac:dyDescent="0.25">
      <c r="A14" t="s">
        <v>503</v>
      </c>
      <c r="B14">
        <v>1</v>
      </c>
    </row>
    <row r="15" spans="1:56" x14ac:dyDescent="0.25">
      <c r="A15" t="s">
        <v>808</v>
      </c>
      <c r="B15">
        <v>1</v>
      </c>
    </row>
    <row r="16" spans="1:56" x14ac:dyDescent="0.25">
      <c r="A16" t="s">
        <v>90</v>
      </c>
      <c r="B16">
        <v>108</v>
      </c>
    </row>
    <row r="17" spans="1:2" x14ac:dyDescent="0.25">
      <c r="A17" t="s">
        <v>150</v>
      </c>
      <c r="B17">
        <v>23</v>
      </c>
    </row>
    <row r="18" spans="1:2" x14ac:dyDescent="0.25">
      <c r="A18" t="s">
        <v>1001</v>
      </c>
      <c r="B18">
        <v>69</v>
      </c>
    </row>
    <row r="19" spans="1:2" x14ac:dyDescent="0.25">
      <c r="A19" s="7" t="s">
        <v>999</v>
      </c>
      <c r="B19">
        <f>SUM(B12:B18)</f>
        <v>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4129-A7EB-44CB-9D3B-50E41BB86263}">
  <sheetPr codeName="Foglio4"/>
  <dimension ref="A3:B14"/>
  <sheetViews>
    <sheetView workbookViewId="0">
      <selection activeCell="A3" sqref="A3"/>
    </sheetView>
  </sheetViews>
  <sheetFormatPr defaultRowHeight="15" x14ac:dyDescent="0.25"/>
  <cols>
    <col min="1" max="1" width="18.7109375" bestFit="1" customWidth="1"/>
    <col min="2" max="2" width="20" bestFit="1" customWidth="1"/>
    <col min="3" max="3" width="18.7109375" bestFit="1" customWidth="1"/>
    <col min="4" max="10" width="21.5703125" bestFit="1" customWidth="1"/>
    <col min="11" max="11" width="18.7109375" bestFit="1" customWidth="1"/>
  </cols>
  <sheetData>
    <row r="3" spans="1:2" x14ac:dyDescent="0.25">
      <c r="A3" s="5" t="s">
        <v>994</v>
      </c>
      <c r="B3" t="s">
        <v>1002</v>
      </c>
    </row>
    <row r="4" spans="1:2" x14ac:dyDescent="0.25">
      <c r="A4" s="6" t="s">
        <v>122</v>
      </c>
      <c r="B4">
        <v>1</v>
      </c>
    </row>
    <row r="5" spans="1:2" x14ac:dyDescent="0.25">
      <c r="A5" s="6" t="s">
        <v>130</v>
      </c>
      <c r="B5">
        <v>2</v>
      </c>
    </row>
    <row r="6" spans="1:2" x14ac:dyDescent="0.25">
      <c r="A6" s="6" t="s">
        <v>297</v>
      </c>
      <c r="B6">
        <v>1</v>
      </c>
    </row>
    <row r="7" spans="1:2" x14ac:dyDescent="0.25">
      <c r="A7" s="6" t="s">
        <v>143</v>
      </c>
      <c r="B7">
        <v>1</v>
      </c>
    </row>
    <row r="8" spans="1:2" x14ac:dyDescent="0.25">
      <c r="A8" s="6" t="s">
        <v>138</v>
      </c>
      <c r="B8">
        <v>1</v>
      </c>
    </row>
    <row r="9" spans="1:2" x14ac:dyDescent="0.25">
      <c r="A9" s="6" t="s">
        <v>508</v>
      </c>
      <c r="B9">
        <v>1</v>
      </c>
    </row>
    <row r="10" spans="1:2" x14ac:dyDescent="0.25">
      <c r="A10" s="6" t="s">
        <v>74</v>
      </c>
      <c r="B10">
        <v>232</v>
      </c>
    </row>
    <row r="11" spans="1:2" x14ac:dyDescent="0.25">
      <c r="A11" s="6" t="s">
        <v>104</v>
      </c>
      <c r="B11">
        <v>2</v>
      </c>
    </row>
    <row r="12" spans="1:2" x14ac:dyDescent="0.25">
      <c r="A12" s="6" t="s">
        <v>113</v>
      </c>
      <c r="B12">
        <v>1</v>
      </c>
    </row>
    <row r="13" spans="1:2" x14ac:dyDescent="0.25">
      <c r="A13" s="6" t="s">
        <v>995</v>
      </c>
    </row>
    <row r="14" spans="1:2" x14ac:dyDescent="0.25">
      <c r="A14" s="6" t="s">
        <v>996</v>
      </c>
      <c r="B14">
        <v>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BD927-4E69-4171-8FC5-72C3CF34AD9E}">
  <sheetPr codeName="Foglio5"/>
  <dimension ref="A1:BF3"/>
  <sheetViews>
    <sheetView workbookViewId="0">
      <selection activeCell="B1" sqref="B1"/>
    </sheetView>
  </sheetViews>
  <sheetFormatPr defaultRowHeight="15" x14ac:dyDescent="0.25"/>
  <sheetData>
    <row r="1" spans="1:58" x14ac:dyDescent="0.25">
      <c r="A1" t="e" cm="1">
        <f t="array" aca="1" ref="A1" ca="1">_xlfn.LET(_xlpm.col, INDEX(Dati!A2:BE298,,MATCH(B1,Dati!A1:BE1,0)),_xlpm.colPulita, FILTRA(_xlpm.col, _xlpm.col&lt;&gt;""),_xlpm.unici, ORDINA(_xlfn.UNIQUE(_xlpm.colPulita)),impila.or(_xlpm.unici, COUNTIF(_xlpm.colPulita, _xlpm.unici)))</f>
        <v>#NAME?</v>
      </c>
      <c r="B1" t="str" cm="1">
        <f t="array" ref="B1:BF1">Intestazioni</f>
        <v>occurrenceID</v>
      </c>
      <c r="C1" t="str">
        <v>basisOfRecord</v>
      </c>
      <c r="D1" t="str">
        <v>eventDate</v>
      </c>
      <c r="E1" t="str">
        <v>startDayOfYear</v>
      </c>
      <c r="F1" t="str">
        <v>endDayOfYear</v>
      </c>
      <c r="G1" t="str">
        <v>year</v>
      </c>
      <c r="H1" t="str">
        <v>month</v>
      </c>
      <c r="I1" t="str">
        <v>day</v>
      </c>
      <c r="J1" t="str">
        <v>verbatimEventDate</v>
      </c>
      <c r="K1" t="str">
        <v>scientificNameAuthorship</v>
      </c>
      <c r="L1" t="str">
        <v>scientificName</v>
      </c>
      <c r="M1" t="str">
        <v>higherClassification</v>
      </c>
      <c r="N1" t="str">
        <v>kingdom</v>
      </c>
      <c r="O1" t="str">
        <v>phylum</v>
      </c>
      <c r="P1" t="str">
        <v>class</v>
      </c>
      <c r="Q1" t="str">
        <v>order</v>
      </c>
      <c r="R1" t="str">
        <v>family</v>
      </c>
      <c r="S1" t="str">
        <v>genus</v>
      </c>
      <c r="T1" t="str">
        <v>specificEpithet</v>
      </c>
      <c r="U1" t="str">
        <v>taxonRank</v>
      </c>
      <c r="V1" t="str">
        <v>vernacularName</v>
      </c>
      <c r="W1" t="str">
        <v>identifiedBy</v>
      </c>
      <c r="X1" t="str">
        <v>nomenclaturalCode</v>
      </c>
      <c r="Y1" t="str">
        <v>decimalLatitude</v>
      </c>
      <c r="Z1" t="str">
        <v>decimalLongitude</v>
      </c>
      <c r="AA1" t="str">
        <v>geodeticDatum</v>
      </c>
      <c r="AB1" t="str">
        <v>coordinateUncertaintyInMeters</v>
      </c>
      <c r="AC1" t="str">
        <v>verbatimCoordinates</v>
      </c>
      <c r="AD1" t="str">
        <v>verbatimCoordinateSystem</v>
      </c>
      <c r="AE1" t="str">
        <v>georeferencedDate</v>
      </c>
      <c r="AF1" t="str">
        <v>georeferenceProtocol</v>
      </c>
      <c r="AG1" t="str">
        <v>georeferenceSources</v>
      </c>
      <c r="AH1" t="str">
        <v>georeferenceVerificationStatus</v>
      </c>
      <c r="AI1" t="str">
        <v>higherGeography</v>
      </c>
      <c r="AJ1" t="str">
        <v>continent</v>
      </c>
      <c r="AK1" t="str">
        <v>island</v>
      </c>
      <c r="AL1" t="str">
        <v>country</v>
      </c>
      <c r="AM1" t="str">
        <v>countryCode</v>
      </c>
      <c r="AN1" t="str">
        <v>stateProvince</v>
      </c>
      <c r="AO1" t="str">
        <v>locality</v>
      </c>
      <c r="AP1" t="str">
        <v>type</v>
      </c>
      <c r="AQ1" t="str">
        <v>language</v>
      </c>
      <c r="AR1" t="str">
        <v>institutionID</v>
      </c>
      <c r="AS1" t="str">
        <v>collectionCode</v>
      </c>
      <c r="AT1" t="str">
        <v>catalogNumber</v>
      </c>
      <c r="AU1" t="str">
        <v>sex</v>
      </c>
      <c r="AV1" t="str">
        <v>organismID</v>
      </c>
      <c r="AW1" t="str">
        <v>individualCount</v>
      </c>
      <c r="AX1" t="str">
        <v>organismQuantity</v>
      </c>
      <c r="AY1" t="str">
        <v>organismQuantityType</v>
      </c>
      <c r="AZ1" t="str">
        <v>samplingProtocol</v>
      </c>
      <c r="BA1" t="str">
        <v>preparations</v>
      </c>
      <c r="BB1" t="str">
        <v>lifeStage</v>
      </c>
      <c r="BC1" t="str">
        <v>otherCatalogNumbers</v>
      </c>
      <c r="BD1" t="str">
        <v>associatedMedia_1</v>
      </c>
      <c r="BE1" t="str">
        <v>associatedMedia_2</v>
      </c>
      <c r="BF1" t="str">
        <v>occurrenceRemarks</v>
      </c>
    </row>
    <row r="3" spans="1:58" x14ac:dyDescent="0.25">
      <c r="A3">
        <f>MATCH(B1,Dati!A1:BE1,0)</f>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15DA-1A8F-4C9D-BD1F-807CA3BCEEB0}">
  <sheetPr codeName="Foglio6"/>
  <dimension ref="A3:I354"/>
  <sheetViews>
    <sheetView topLeftCell="G91" zoomScale="190" zoomScaleNormal="190" workbookViewId="0">
      <selection activeCell="T98" sqref="T98"/>
    </sheetView>
  </sheetViews>
  <sheetFormatPr defaultRowHeight="15" x14ac:dyDescent="0.25"/>
  <cols>
    <col min="1" max="1" width="18.7109375" bestFit="1" customWidth="1"/>
    <col min="2" max="2" width="4" bestFit="1" customWidth="1"/>
  </cols>
  <sheetData>
    <row r="3" spans="1:2" x14ac:dyDescent="0.25">
      <c r="A3" s="5" t="s">
        <v>994</v>
      </c>
      <c r="B3" t="s">
        <v>1161</v>
      </c>
    </row>
    <row r="4" spans="1:2" x14ac:dyDescent="0.25">
      <c r="A4" s="6">
        <v>1875</v>
      </c>
      <c r="B4">
        <v>9</v>
      </c>
    </row>
    <row r="5" spans="1:2" x14ac:dyDescent="0.25">
      <c r="A5" s="6">
        <v>1876</v>
      </c>
      <c r="B5">
        <v>1</v>
      </c>
    </row>
    <row r="6" spans="1:2" x14ac:dyDescent="0.25">
      <c r="A6" s="6">
        <v>1878</v>
      </c>
      <c r="B6">
        <v>1</v>
      </c>
    </row>
    <row r="7" spans="1:2" x14ac:dyDescent="0.25">
      <c r="A7" s="6">
        <v>1881</v>
      </c>
      <c r="B7">
        <v>1</v>
      </c>
    </row>
    <row r="8" spans="1:2" x14ac:dyDescent="0.25">
      <c r="A8" s="6">
        <v>1885</v>
      </c>
      <c r="B8">
        <v>2</v>
      </c>
    </row>
    <row r="9" spans="1:2" x14ac:dyDescent="0.25">
      <c r="A9" s="6">
        <v>1886</v>
      </c>
      <c r="B9">
        <v>2</v>
      </c>
    </row>
    <row r="10" spans="1:2" x14ac:dyDescent="0.25">
      <c r="A10" s="6">
        <v>1887</v>
      </c>
      <c r="B10">
        <v>1</v>
      </c>
    </row>
    <row r="11" spans="1:2" x14ac:dyDescent="0.25">
      <c r="A11" s="6">
        <v>1888</v>
      </c>
      <c r="B11">
        <v>5</v>
      </c>
    </row>
    <row r="12" spans="1:2" x14ac:dyDescent="0.25">
      <c r="A12" s="6">
        <v>1889</v>
      </c>
      <c r="B12">
        <v>1</v>
      </c>
    </row>
    <row r="13" spans="1:2" x14ac:dyDescent="0.25">
      <c r="A13" s="6">
        <v>1890</v>
      </c>
      <c r="B13">
        <v>2</v>
      </c>
    </row>
    <row r="14" spans="1:2" x14ac:dyDescent="0.25">
      <c r="A14" s="6">
        <v>1891</v>
      </c>
      <c r="B14">
        <v>3</v>
      </c>
    </row>
    <row r="15" spans="1:2" x14ac:dyDescent="0.25">
      <c r="A15" s="6">
        <v>1892</v>
      </c>
      <c r="B15">
        <v>3</v>
      </c>
    </row>
    <row r="16" spans="1:2" x14ac:dyDescent="0.25">
      <c r="A16" s="6">
        <v>1893</v>
      </c>
      <c r="B16">
        <v>2</v>
      </c>
    </row>
    <row r="17" spans="1:2" x14ac:dyDescent="0.25">
      <c r="A17" s="6">
        <v>1895</v>
      </c>
      <c r="B17">
        <v>3</v>
      </c>
    </row>
    <row r="18" spans="1:2" x14ac:dyDescent="0.25">
      <c r="A18" s="6">
        <v>1896</v>
      </c>
      <c r="B18">
        <v>4</v>
      </c>
    </row>
    <row r="19" spans="1:2" x14ac:dyDescent="0.25">
      <c r="A19" s="6">
        <v>1897</v>
      </c>
      <c r="B19">
        <v>2</v>
      </c>
    </row>
    <row r="20" spans="1:2" x14ac:dyDescent="0.25">
      <c r="A20" s="6">
        <v>1898</v>
      </c>
      <c r="B20">
        <v>2</v>
      </c>
    </row>
    <row r="21" spans="1:2" x14ac:dyDescent="0.25">
      <c r="A21" s="6">
        <v>1899</v>
      </c>
      <c r="B21">
        <v>1</v>
      </c>
    </row>
    <row r="22" spans="1:2" x14ac:dyDescent="0.25">
      <c r="A22" s="6">
        <v>1901</v>
      </c>
      <c r="B22">
        <v>5</v>
      </c>
    </row>
    <row r="23" spans="1:2" x14ac:dyDescent="0.25">
      <c r="A23" s="6">
        <v>1902</v>
      </c>
      <c r="B23">
        <v>2</v>
      </c>
    </row>
    <row r="24" spans="1:2" x14ac:dyDescent="0.25">
      <c r="A24" s="6">
        <v>1905</v>
      </c>
      <c r="B24">
        <v>1</v>
      </c>
    </row>
    <row r="25" spans="1:2" x14ac:dyDescent="0.25">
      <c r="A25" s="6">
        <v>1916</v>
      </c>
      <c r="B25">
        <v>1</v>
      </c>
    </row>
    <row r="26" spans="1:2" x14ac:dyDescent="0.25">
      <c r="A26" s="6">
        <v>1919</v>
      </c>
      <c r="B26">
        <v>1</v>
      </c>
    </row>
    <row r="27" spans="1:2" x14ac:dyDescent="0.25">
      <c r="A27" s="6">
        <v>1921</v>
      </c>
      <c r="B27">
        <v>1</v>
      </c>
    </row>
    <row r="28" spans="1:2" x14ac:dyDescent="0.25">
      <c r="A28" s="6">
        <v>1922</v>
      </c>
      <c r="B28">
        <v>1</v>
      </c>
    </row>
    <row r="29" spans="1:2" x14ac:dyDescent="0.25">
      <c r="A29" s="6">
        <v>1946</v>
      </c>
      <c r="B29">
        <v>1</v>
      </c>
    </row>
    <row r="30" spans="1:2" x14ac:dyDescent="0.25">
      <c r="A30" s="6">
        <v>1947</v>
      </c>
      <c r="B30">
        <v>1</v>
      </c>
    </row>
    <row r="31" spans="1:2" x14ac:dyDescent="0.25">
      <c r="A31" s="6">
        <v>1948</v>
      </c>
      <c r="B31">
        <v>1</v>
      </c>
    </row>
    <row r="32" spans="1:2" x14ac:dyDescent="0.25">
      <c r="A32" s="6">
        <v>1949</v>
      </c>
      <c r="B32">
        <v>1</v>
      </c>
    </row>
    <row r="33" spans="1:2" x14ac:dyDescent="0.25">
      <c r="A33" s="6">
        <v>1950</v>
      </c>
      <c r="B33">
        <v>2</v>
      </c>
    </row>
    <row r="34" spans="1:2" x14ac:dyDescent="0.25">
      <c r="A34" s="6">
        <v>1951</v>
      </c>
      <c r="B34">
        <v>2</v>
      </c>
    </row>
    <row r="35" spans="1:2" x14ac:dyDescent="0.25">
      <c r="A35" s="6">
        <v>1952</v>
      </c>
      <c r="B35">
        <v>2</v>
      </c>
    </row>
    <row r="36" spans="1:2" x14ac:dyDescent="0.25">
      <c r="A36" s="6">
        <v>1954</v>
      </c>
      <c r="B36">
        <v>1</v>
      </c>
    </row>
    <row r="37" spans="1:2" x14ac:dyDescent="0.25">
      <c r="A37" s="6">
        <v>1955</v>
      </c>
      <c r="B37">
        <v>1</v>
      </c>
    </row>
    <row r="38" spans="1:2" x14ac:dyDescent="0.25">
      <c r="A38" s="6">
        <v>1956</v>
      </c>
      <c r="B38">
        <v>19</v>
      </c>
    </row>
    <row r="39" spans="1:2" x14ac:dyDescent="0.25">
      <c r="A39" s="6">
        <v>1957</v>
      </c>
      <c r="B39">
        <v>18</v>
      </c>
    </row>
    <row r="40" spans="1:2" x14ac:dyDescent="0.25">
      <c r="A40" s="6">
        <v>1958</v>
      </c>
      <c r="B40">
        <v>25</v>
      </c>
    </row>
    <row r="41" spans="1:2" x14ac:dyDescent="0.25">
      <c r="A41" s="6">
        <v>1959</v>
      </c>
      <c r="B41">
        <v>26</v>
      </c>
    </row>
    <row r="42" spans="1:2" x14ac:dyDescent="0.25">
      <c r="A42" s="6">
        <v>1960</v>
      </c>
      <c r="B42">
        <v>23</v>
      </c>
    </row>
    <row r="43" spans="1:2" x14ac:dyDescent="0.25">
      <c r="A43" s="6">
        <v>1961</v>
      </c>
      <c r="B43">
        <v>14</v>
      </c>
    </row>
    <row r="44" spans="1:2" x14ac:dyDescent="0.25">
      <c r="A44" s="6">
        <v>1964</v>
      </c>
      <c r="B44">
        <v>6</v>
      </c>
    </row>
    <row r="45" spans="1:2" x14ac:dyDescent="0.25">
      <c r="A45" s="6">
        <v>1965</v>
      </c>
      <c r="B45">
        <v>1</v>
      </c>
    </row>
    <row r="46" spans="1:2" x14ac:dyDescent="0.25">
      <c r="A46" s="6">
        <v>1967</v>
      </c>
      <c r="B46">
        <v>1</v>
      </c>
    </row>
    <row r="47" spans="1:2" x14ac:dyDescent="0.25">
      <c r="A47" s="6">
        <v>1973</v>
      </c>
      <c r="B47">
        <v>1</v>
      </c>
    </row>
    <row r="48" spans="1:2" x14ac:dyDescent="0.25">
      <c r="A48" s="6">
        <v>1975</v>
      </c>
      <c r="B48">
        <v>1</v>
      </c>
    </row>
    <row r="49" spans="1:9" x14ac:dyDescent="0.25">
      <c r="A49" s="6">
        <v>1977</v>
      </c>
      <c r="B49">
        <v>1</v>
      </c>
    </row>
    <row r="50" spans="1:9" x14ac:dyDescent="0.25">
      <c r="A50" s="6">
        <v>1978</v>
      </c>
      <c r="B50">
        <v>4</v>
      </c>
    </row>
    <row r="51" spans="1:9" x14ac:dyDescent="0.25">
      <c r="A51" s="6">
        <v>1981</v>
      </c>
      <c r="B51">
        <v>1</v>
      </c>
    </row>
    <row r="52" spans="1:9" x14ac:dyDescent="0.25">
      <c r="A52" s="6">
        <v>1982</v>
      </c>
      <c r="B52">
        <v>1</v>
      </c>
    </row>
    <row r="53" spans="1:9" x14ac:dyDescent="0.25">
      <c r="A53" s="6">
        <v>3104</v>
      </c>
      <c r="B53">
        <v>1</v>
      </c>
    </row>
    <row r="54" spans="1:9" x14ac:dyDescent="0.25">
      <c r="A54" s="6">
        <v>7063</v>
      </c>
      <c r="B54">
        <v>1</v>
      </c>
    </row>
    <row r="55" spans="1:9" x14ac:dyDescent="0.25">
      <c r="A55" s="6"/>
      <c r="B55">
        <v>85</v>
      </c>
    </row>
    <row r="56" spans="1:9" x14ac:dyDescent="0.25">
      <c r="A56" s="6" t="s">
        <v>996</v>
      </c>
      <c r="B56">
        <v>298</v>
      </c>
    </row>
    <row r="58" spans="1:9" x14ac:dyDescent="0.25">
      <c r="A58">
        <v>1875</v>
      </c>
      <c r="B58">
        <v>12</v>
      </c>
      <c r="C58">
        <f>COUNTIF(I58:I354,A58)</f>
        <v>12</v>
      </c>
      <c r="E58">
        <v>1875</v>
      </c>
      <c r="I58">
        <v>1899</v>
      </c>
    </row>
    <row r="59" spans="1:9" x14ac:dyDescent="0.25">
      <c r="A59">
        <v>1876</v>
      </c>
      <c r="B59">
        <v>1</v>
      </c>
      <c r="C59">
        <f>COUNTIF(I58:I354,A59)</f>
        <v>1</v>
      </c>
      <c r="E59">
        <v>1876</v>
      </c>
      <c r="I59">
        <v>1960</v>
      </c>
    </row>
    <row r="60" spans="1:9" x14ac:dyDescent="0.25">
      <c r="A60">
        <v>1878</v>
      </c>
      <c r="B60">
        <v>1</v>
      </c>
      <c r="C60">
        <f>COUNTIF(I58:I354,A60)</f>
        <v>1</v>
      </c>
      <c r="E60">
        <v>1878</v>
      </c>
      <c r="I60">
        <v>1959</v>
      </c>
    </row>
    <row r="61" spans="1:9" x14ac:dyDescent="0.25">
      <c r="A61">
        <v>1880</v>
      </c>
      <c r="B61">
        <v>1</v>
      </c>
      <c r="C61">
        <f>COUNTIF(I58:I354,A61)</f>
        <v>1</v>
      </c>
      <c r="E61">
        <v>1880</v>
      </c>
      <c r="I61">
        <v>1919</v>
      </c>
    </row>
    <row r="62" spans="1:9" x14ac:dyDescent="0.25">
      <c r="A62">
        <v>1881</v>
      </c>
      <c r="B62">
        <v>1</v>
      </c>
      <c r="C62">
        <f>COUNTIF(I58:I354,A62)</f>
        <v>1</v>
      </c>
      <c r="E62">
        <v>1881</v>
      </c>
      <c r="I62">
        <v>1889</v>
      </c>
    </row>
    <row r="63" spans="1:9" x14ac:dyDescent="0.25">
      <c r="A63">
        <v>1885</v>
      </c>
      <c r="B63">
        <v>4</v>
      </c>
      <c r="C63">
        <f>COUNTIF(I58:I354,A63)</f>
        <v>4</v>
      </c>
      <c r="E63">
        <v>1885</v>
      </c>
      <c r="I63">
        <v>1959</v>
      </c>
    </row>
    <row r="64" spans="1:9" x14ac:dyDescent="0.25">
      <c r="A64">
        <v>1886</v>
      </c>
      <c r="B64">
        <v>4</v>
      </c>
      <c r="C64">
        <f>COUNTIF(I58:I354,A64)</f>
        <v>4</v>
      </c>
      <c r="E64">
        <v>1886</v>
      </c>
      <c r="I64">
        <v>1922</v>
      </c>
    </row>
    <row r="65" spans="1:9" x14ac:dyDescent="0.25">
      <c r="A65">
        <v>1887</v>
      </c>
      <c r="B65">
        <v>3</v>
      </c>
      <c r="C65">
        <f>COUNTIF(I58:I354,A65)</f>
        <v>3</v>
      </c>
      <c r="E65">
        <v>1887</v>
      </c>
      <c r="I65">
        <v>1920</v>
      </c>
    </row>
    <row r="66" spans="1:9" x14ac:dyDescent="0.25">
      <c r="A66">
        <v>1888</v>
      </c>
      <c r="B66">
        <v>5</v>
      </c>
      <c r="C66">
        <f>COUNTIF(I58:I354,A66)</f>
        <v>5</v>
      </c>
      <c r="E66">
        <v>1888</v>
      </c>
      <c r="I66">
        <v>1920</v>
      </c>
    </row>
    <row r="67" spans="1:9" x14ac:dyDescent="0.25">
      <c r="A67">
        <v>1889</v>
      </c>
      <c r="B67">
        <v>2</v>
      </c>
      <c r="C67">
        <f>COUNTIF(I58:I354,A67)</f>
        <v>2</v>
      </c>
      <c r="E67">
        <v>1889</v>
      </c>
      <c r="I67">
        <v>1922</v>
      </c>
    </row>
    <row r="68" spans="1:9" x14ac:dyDescent="0.25">
      <c r="A68">
        <v>1890</v>
      </c>
      <c r="B68">
        <v>5</v>
      </c>
      <c r="C68">
        <f>COUNTIF(I58:I354,A68)</f>
        <v>5</v>
      </c>
      <c r="E68">
        <v>1890</v>
      </c>
      <c r="I68">
        <v>1876</v>
      </c>
    </row>
    <row r="69" spans="1:9" x14ac:dyDescent="0.25">
      <c r="A69">
        <v>1891</v>
      </c>
      <c r="B69">
        <v>3</v>
      </c>
      <c r="C69">
        <f>COUNTIF(I58:I354,A69)</f>
        <v>3</v>
      </c>
      <c r="E69">
        <v>1891</v>
      </c>
      <c r="I69">
        <v>1902</v>
      </c>
    </row>
    <row r="70" spans="1:9" x14ac:dyDescent="0.25">
      <c r="A70">
        <v>1892</v>
      </c>
      <c r="B70">
        <v>3</v>
      </c>
      <c r="C70">
        <f>COUNTIF(I58:I354,A70)</f>
        <v>3</v>
      </c>
      <c r="E70">
        <v>1892</v>
      </c>
      <c r="I70">
        <v>1950</v>
      </c>
    </row>
    <row r="71" spans="1:9" x14ac:dyDescent="0.25">
      <c r="A71">
        <v>1893</v>
      </c>
      <c r="B71">
        <v>2</v>
      </c>
      <c r="C71">
        <f>COUNTIF(I58:I354,A71)</f>
        <v>2</v>
      </c>
      <c r="E71">
        <v>1893</v>
      </c>
      <c r="I71">
        <v>1978</v>
      </c>
    </row>
    <row r="72" spans="1:9" x14ac:dyDescent="0.25">
      <c r="A72">
        <v>1895</v>
      </c>
      <c r="B72">
        <v>5</v>
      </c>
      <c r="C72">
        <f>COUNTIF(I58:I354,A72)</f>
        <v>5</v>
      </c>
      <c r="E72">
        <v>1895</v>
      </c>
      <c r="I72">
        <v>1950</v>
      </c>
    </row>
    <row r="73" spans="1:9" x14ac:dyDescent="0.25">
      <c r="A73">
        <v>1896</v>
      </c>
      <c r="B73">
        <v>6</v>
      </c>
      <c r="C73">
        <f>COUNTIF(I58:I354,A73)</f>
        <v>6</v>
      </c>
      <c r="E73">
        <v>1896</v>
      </c>
      <c r="I73">
        <v>1957</v>
      </c>
    </row>
    <row r="74" spans="1:9" x14ac:dyDescent="0.25">
      <c r="A74">
        <v>1897</v>
      </c>
      <c r="B74">
        <v>2</v>
      </c>
      <c r="C74">
        <f>COUNTIF(I58:I354,A74)</f>
        <v>2</v>
      </c>
      <c r="E74">
        <v>1897</v>
      </c>
      <c r="I74">
        <v>1896</v>
      </c>
    </row>
    <row r="75" spans="1:9" x14ac:dyDescent="0.25">
      <c r="A75">
        <v>1898</v>
      </c>
      <c r="B75">
        <v>3</v>
      </c>
      <c r="C75">
        <f>COUNTIF(I58:I354,A75)</f>
        <v>3</v>
      </c>
      <c r="E75">
        <v>1898</v>
      </c>
      <c r="I75">
        <v>1896</v>
      </c>
    </row>
    <row r="76" spans="1:9" x14ac:dyDescent="0.25">
      <c r="A76">
        <v>1899</v>
      </c>
      <c r="B76">
        <v>1</v>
      </c>
      <c r="C76">
        <f>COUNTIF(I58:I354,A76)</f>
        <v>1</v>
      </c>
      <c r="E76">
        <v>1899</v>
      </c>
      <c r="I76">
        <v>1978</v>
      </c>
    </row>
    <row r="77" spans="1:9" x14ac:dyDescent="0.25">
      <c r="A77">
        <v>1900</v>
      </c>
      <c r="B77">
        <v>1</v>
      </c>
      <c r="C77">
        <f>COUNTIF(I58:I354,A77)</f>
        <v>1</v>
      </c>
      <c r="E77">
        <v>1900</v>
      </c>
      <c r="I77">
        <v>1916</v>
      </c>
    </row>
    <row r="78" spans="1:9" x14ac:dyDescent="0.25">
      <c r="A78">
        <v>1901</v>
      </c>
      <c r="B78">
        <v>6</v>
      </c>
      <c r="C78">
        <f>COUNTIF(I58:I354,A78)</f>
        <v>6</v>
      </c>
      <c r="E78">
        <v>1901</v>
      </c>
      <c r="I78">
        <v>1960</v>
      </c>
    </row>
    <row r="79" spans="1:9" x14ac:dyDescent="0.25">
      <c r="A79">
        <v>1902</v>
      </c>
      <c r="B79">
        <v>2</v>
      </c>
      <c r="C79">
        <f>COUNTIF(I58:I354,A79)</f>
        <v>2</v>
      </c>
      <c r="E79">
        <v>1902</v>
      </c>
      <c r="I79">
        <v>1960</v>
      </c>
    </row>
    <row r="80" spans="1:9" x14ac:dyDescent="0.25">
      <c r="A80">
        <v>1905</v>
      </c>
      <c r="B80">
        <v>1</v>
      </c>
      <c r="C80">
        <f>COUNTIF(I58:I354,A80)</f>
        <v>1</v>
      </c>
      <c r="E80">
        <v>1905</v>
      </c>
      <c r="I80">
        <v>1959</v>
      </c>
    </row>
    <row r="81" spans="1:9" x14ac:dyDescent="0.25">
      <c r="A81">
        <v>1908</v>
      </c>
      <c r="B81">
        <v>1</v>
      </c>
      <c r="C81">
        <f>COUNTIF(I58:I354,A81)</f>
        <v>1</v>
      </c>
      <c r="E81">
        <v>1908</v>
      </c>
      <c r="I81">
        <v>1886</v>
      </c>
    </row>
    <row r="82" spans="1:9" x14ac:dyDescent="0.25">
      <c r="A82">
        <v>1910</v>
      </c>
      <c r="B82">
        <v>1</v>
      </c>
      <c r="C82">
        <f>COUNTIF(I58:I354,A82)</f>
        <v>1</v>
      </c>
      <c r="E82">
        <v>1910</v>
      </c>
      <c r="I82">
        <v>1957</v>
      </c>
    </row>
    <row r="83" spans="1:9" x14ac:dyDescent="0.25">
      <c r="A83">
        <v>1916</v>
      </c>
      <c r="B83">
        <v>1</v>
      </c>
      <c r="C83">
        <f>COUNTIF(I58:I354,A83)</f>
        <v>1</v>
      </c>
      <c r="E83">
        <v>1916</v>
      </c>
      <c r="I83">
        <v>1960</v>
      </c>
    </row>
    <row r="84" spans="1:9" x14ac:dyDescent="0.25">
      <c r="A84">
        <v>1919</v>
      </c>
      <c r="B84">
        <v>2</v>
      </c>
      <c r="C84">
        <f>COUNTIF(I58:I354,A84)</f>
        <v>2</v>
      </c>
      <c r="E84">
        <v>1919</v>
      </c>
      <c r="I84">
        <v>1956</v>
      </c>
    </row>
    <row r="85" spans="1:9" x14ac:dyDescent="0.25">
      <c r="A85">
        <v>1920</v>
      </c>
      <c r="B85">
        <v>8</v>
      </c>
      <c r="C85">
        <f>COUNTIF(I58:I354,A85)</f>
        <v>8</v>
      </c>
      <c r="E85">
        <v>1920</v>
      </c>
      <c r="I85">
        <v>1957</v>
      </c>
    </row>
    <row r="86" spans="1:9" x14ac:dyDescent="0.25">
      <c r="A86">
        <v>1921</v>
      </c>
      <c r="B86">
        <v>1</v>
      </c>
      <c r="C86">
        <f>COUNTIF(I58:I354,A86)</f>
        <v>1</v>
      </c>
      <c r="E86">
        <v>1921</v>
      </c>
      <c r="I86">
        <v>1959</v>
      </c>
    </row>
    <row r="87" spans="1:9" x14ac:dyDescent="0.25">
      <c r="A87">
        <v>1922</v>
      </c>
      <c r="B87">
        <v>3</v>
      </c>
      <c r="C87">
        <f>COUNTIF(I58:I354,A87)</f>
        <v>3</v>
      </c>
      <c r="E87">
        <v>1922</v>
      </c>
      <c r="I87">
        <v>1957</v>
      </c>
    </row>
    <row r="88" spans="1:9" x14ac:dyDescent="0.25">
      <c r="A88">
        <v>1946</v>
      </c>
      <c r="B88">
        <v>1</v>
      </c>
      <c r="C88">
        <f>COUNTIF(I58:I354,A88)</f>
        <v>1</v>
      </c>
      <c r="E88">
        <v>1946</v>
      </c>
      <c r="I88">
        <v>1961</v>
      </c>
    </row>
    <row r="89" spans="1:9" x14ac:dyDescent="0.25">
      <c r="A89">
        <v>1947</v>
      </c>
      <c r="B89">
        <v>1</v>
      </c>
      <c r="C89">
        <f>COUNTIF(I58:I354,A89)</f>
        <v>1</v>
      </c>
      <c r="E89">
        <v>1947</v>
      </c>
      <c r="I89">
        <v>1956</v>
      </c>
    </row>
    <row r="90" spans="1:9" x14ac:dyDescent="0.25">
      <c r="A90">
        <v>1948</v>
      </c>
      <c r="B90">
        <v>1</v>
      </c>
      <c r="C90">
        <f>COUNTIF(I58:I354,A90)</f>
        <v>1</v>
      </c>
      <c r="E90">
        <v>1948</v>
      </c>
      <c r="I90">
        <v>1961</v>
      </c>
    </row>
    <row r="91" spans="1:9" x14ac:dyDescent="0.25">
      <c r="A91">
        <v>1949</v>
      </c>
      <c r="B91">
        <v>1</v>
      </c>
      <c r="C91">
        <f>COUNTIF(I58:I354,A91)</f>
        <v>1</v>
      </c>
      <c r="E91">
        <v>1949</v>
      </c>
      <c r="I91">
        <v>1961</v>
      </c>
    </row>
    <row r="92" spans="1:9" x14ac:dyDescent="0.25">
      <c r="A92">
        <v>1950</v>
      </c>
      <c r="B92">
        <v>3</v>
      </c>
      <c r="C92">
        <f>COUNTIF(I58:I354,A92)</f>
        <v>3</v>
      </c>
      <c r="E92">
        <v>1950</v>
      </c>
      <c r="I92">
        <v>1961</v>
      </c>
    </row>
    <row r="93" spans="1:9" x14ac:dyDescent="0.25">
      <c r="A93">
        <v>1951</v>
      </c>
      <c r="B93">
        <v>2</v>
      </c>
      <c r="C93">
        <f>COUNTIF(I58:I354,A93)</f>
        <v>2</v>
      </c>
      <c r="E93">
        <v>1951</v>
      </c>
      <c r="I93">
        <v>1970</v>
      </c>
    </row>
    <row r="94" spans="1:9" x14ac:dyDescent="0.25">
      <c r="A94">
        <v>1952</v>
      </c>
      <c r="B94">
        <v>2</v>
      </c>
      <c r="C94">
        <f>COUNTIF(I58:I354,A94)</f>
        <v>2</v>
      </c>
      <c r="E94">
        <v>1952</v>
      </c>
      <c r="I94">
        <v>1889</v>
      </c>
    </row>
    <row r="95" spans="1:9" x14ac:dyDescent="0.25">
      <c r="A95">
        <v>1954</v>
      </c>
      <c r="B95">
        <v>1</v>
      </c>
      <c r="C95">
        <f>COUNTIF(I58:I354,A95)</f>
        <v>1</v>
      </c>
      <c r="E95">
        <v>1954</v>
      </c>
      <c r="I95">
        <v>1959</v>
      </c>
    </row>
    <row r="96" spans="1:9" x14ac:dyDescent="0.25">
      <c r="A96">
        <v>1955</v>
      </c>
      <c r="B96">
        <v>2</v>
      </c>
      <c r="C96">
        <f>COUNTIF(I58:I354,A96)</f>
        <v>2</v>
      </c>
      <c r="E96">
        <v>1955</v>
      </c>
      <c r="I96">
        <v>1959</v>
      </c>
    </row>
    <row r="97" spans="1:9" x14ac:dyDescent="0.25">
      <c r="A97">
        <v>1956</v>
      </c>
      <c r="B97">
        <v>20</v>
      </c>
      <c r="C97">
        <f>COUNTIF(I58:I354,A97)</f>
        <v>20</v>
      </c>
      <c r="E97">
        <v>1956</v>
      </c>
      <c r="I97">
        <v>1898</v>
      </c>
    </row>
    <row r="98" spans="1:9" x14ac:dyDescent="0.25">
      <c r="A98">
        <v>1957</v>
      </c>
      <c r="B98">
        <v>21</v>
      </c>
      <c r="C98">
        <f>COUNTIF(I58:I354,A98)</f>
        <v>21</v>
      </c>
      <c r="E98">
        <v>1957</v>
      </c>
      <c r="I98">
        <v>1901</v>
      </c>
    </row>
    <row r="99" spans="1:9" x14ac:dyDescent="0.25">
      <c r="A99">
        <v>1958</v>
      </c>
      <c r="B99">
        <v>27</v>
      </c>
      <c r="C99">
        <f>COUNTIF(I58:I354,A99)</f>
        <v>27</v>
      </c>
      <c r="E99">
        <v>1958</v>
      </c>
      <c r="I99">
        <v>1885</v>
      </c>
    </row>
    <row r="100" spans="1:9" x14ac:dyDescent="0.25">
      <c r="A100">
        <v>1959</v>
      </c>
      <c r="B100">
        <v>33</v>
      </c>
      <c r="C100">
        <f>COUNTIF(I58:I354,A100)</f>
        <v>33</v>
      </c>
      <c r="E100">
        <v>1959</v>
      </c>
      <c r="I100">
        <v>1959</v>
      </c>
    </row>
    <row r="101" spans="1:9" x14ac:dyDescent="0.25">
      <c r="A101">
        <v>1960</v>
      </c>
      <c r="B101">
        <v>38</v>
      </c>
      <c r="C101">
        <f>COUNTIF(I58:I354,A101)</f>
        <v>38</v>
      </c>
      <c r="E101">
        <v>1960</v>
      </c>
      <c r="I101">
        <v>1875</v>
      </c>
    </row>
    <row r="102" spans="1:9" x14ac:dyDescent="0.25">
      <c r="A102">
        <v>1961</v>
      </c>
      <c r="B102">
        <v>19</v>
      </c>
      <c r="C102">
        <f>COUNTIF(I58:I354,A102)</f>
        <v>19</v>
      </c>
      <c r="E102">
        <v>1961</v>
      </c>
      <c r="I102">
        <v>1973</v>
      </c>
    </row>
    <row r="103" spans="1:9" x14ac:dyDescent="0.25">
      <c r="A103">
        <v>1963</v>
      </c>
      <c r="B103">
        <v>1</v>
      </c>
      <c r="C103">
        <f>COUNTIF(I58:I354,A103)</f>
        <v>1</v>
      </c>
      <c r="E103">
        <v>1963</v>
      </c>
      <c r="I103">
        <v>1958</v>
      </c>
    </row>
    <row r="104" spans="1:9" x14ac:dyDescent="0.25">
      <c r="A104">
        <v>1964</v>
      </c>
      <c r="B104">
        <v>7</v>
      </c>
      <c r="C104">
        <f>COUNTIF(I58:I354,A104)</f>
        <v>7</v>
      </c>
      <c r="E104">
        <v>1964</v>
      </c>
      <c r="I104">
        <v>1888</v>
      </c>
    </row>
    <row r="105" spans="1:9" x14ac:dyDescent="0.25">
      <c r="A105">
        <v>1965</v>
      </c>
      <c r="B105">
        <v>1</v>
      </c>
      <c r="C105">
        <f>COUNTIF(I58:I354,A105)</f>
        <v>1</v>
      </c>
      <c r="E105">
        <v>1965</v>
      </c>
      <c r="I105">
        <v>1975</v>
      </c>
    </row>
    <row r="106" spans="1:9" x14ac:dyDescent="0.25">
      <c r="A106">
        <v>1967</v>
      </c>
      <c r="B106">
        <v>1</v>
      </c>
      <c r="C106">
        <f>COUNTIF(I58:I354,A106)</f>
        <v>1</v>
      </c>
      <c r="E106">
        <v>1967</v>
      </c>
      <c r="I106">
        <v>1958</v>
      </c>
    </row>
    <row r="107" spans="1:9" x14ac:dyDescent="0.25">
      <c r="A107">
        <v>1970</v>
      </c>
      <c r="B107">
        <v>2</v>
      </c>
      <c r="C107">
        <f>COUNTIF(I58:I354,A107)</f>
        <v>2</v>
      </c>
      <c r="E107">
        <v>1970</v>
      </c>
      <c r="I107">
        <v>1978</v>
      </c>
    </row>
    <row r="108" spans="1:9" x14ac:dyDescent="0.25">
      <c r="A108">
        <v>1972</v>
      </c>
      <c r="B108">
        <v>1</v>
      </c>
      <c r="C108">
        <f>COUNTIF(I58:I354,A108)</f>
        <v>1</v>
      </c>
      <c r="E108">
        <v>1972</v>
      </c>
      <c r="I108">
        <v>1960</v>
      </c>
    </row>
    <row r="109" spans="1:9" x14ac:dyDescent="0.25">
      <c r="A109">
        <v>1973</v>
      </c>
      <c r="B109">
        <v>2</v>
      </c>
      <c r="C109">
        <f>COUNTIF(I58:I354,A109)</f>
        <v>2</v>
      </c>
      <c r="E109">
        <v>1973</v>
      </c>
      <c r="I109">
        <v>1890</v>
      </c>
    </row>
    <row r="110" spans="1:9" x14ac:dyDescent="0.25">
      <c r="A110">
        <v>1975</v>
      </c>
      <c r="B110">
        <v>1</v>
      </c>
      <c r="C110">
        <f>COUNTIF(I58:I354,A110)</f>
        <v>1</v>
      </c>
      <c r="E110">
        <v>1975</v>
      </c>
      <c r="I110">
        <v>1875</v>
      </c>
    </row>
    <row r="111" spans="1:9" x14ac:dyDescent="0.25">
      <c r="A111">
        <v>1977</v>
      </c>
      <c r="B111">
        <v>2</v>
      </c>
      <c r="C111">
        <f>COUNTIF(I58:I354,A111)</f>
        <v>2</v>
      </c>
      <c r="E111">
        <v>1977</v>
      </c>
      <c r="I111">
        <v>1978</v>
      </c>
    </row>
    <row r="112" spans="1:9" x14ac:dyDescent="0.25">
      <c r="A112">
        <v>1978</v>
      </c>
      <c r="B112">
        <v>14</v>
      </c>
      <c r="C112">
        <f>COUNTIF(I58:I354,A112)</f>
        <v>14</v>
      </c>
      <c r="E112">
        <v>1978</v>
      </c>
      <c r="I112">
        <v>1961</v>
      </c>
    </row>
    <row r="113" spans="1:9" x14ac:dyDescent="0.25">
      <c r="A113">
        <v>1981</v>
      </c>
      <c r="B113">
        <v>1</v>
      </c>
      <c r="C113">
        <f>COUNTIF(I58:I354,A113)</f>
        <v>1</v>
      </c>
      <c r="E113">
        <v>1981</v>
      </c>
      <c r="I113">
        <v>1950</v>
      </c>
    </row>
    <row r="114" spans="1:9" x14ac:dyDescent="0.25">
      <c r="A114">
        <v>1982</v>
      </c>
      <c r="B114">
        <v>1</v>
      </c>
      <c r="C114">
        <f>COUNTIF(I58:I354,A114)</f>
        <v>1</v>
      </c>
      <c r="E114">
        <v>1982</v>
      </c>
      <c r="I114">
        <v>1967</v>
      </c>
    </row>
    <row r="115" spans="1:9" x14ac:dyDescent="0.25">
      <c r="I115">
        <v>1920</v>
      </c>
    </row>
    <row r="116" spans="1:9" x14ac:dyDescent="0.25">
      <c r="B116">
        <f>SUM(B58:B115)</f>
        <v>297</v>
      </c>
      <c r="C116">
        <f>SUM(C58:C115)</f>
        <v>297</v>
      </c>
      <c r="I116">
        <v>1920</v>
      </c>
    </row>
    <row r="117" spans="1:9" x14ac:dyDescent="0.25">
      <c r="I117">
        <v>1893</v>
      </c>
    </row>
    <row r="118" spans="1:9" x14ac:dyDescent="0.25">
      <c r="I118">
        <v>1961</v>
      </c>
    </row>
    <row r="119" spans="1:9" x14ac:dyDescent="0.25">
      <c r="I119">
        <v>1958</v>
      </c>
    </row>
    <row r="120" spans="1:9" x14ac:dyDescent="0.25">
      <c r="I120">
        <v>1961</v>
      </c>
    </row>
    <row r="121" spans="1:9" x14ac:dyDescent="0.25">
      <c r="I121">
        <v>1890</v>
      </c>
    </row>
    <row r="122" spans="1:9" x14ac:dyDescent="0.25">
      <c r="I122">
        <v>1888</v>
      </c>
    </row>
    <row r="123" spans="1:9" x14ac:dyDescent="0.25">
      <c r="I123">
        <v>1895</v>
      </c>
    </row>
    <row r="124" spans="1:9" x14ac:dyDescent="0.25">
      <c r="I124">
        <v>1958</v>
      </c>
    </row>
    <row r="125" spans="1:9" x14ac:dyDescent="0.25">
      <c r="I125">
        <v>1961</v>
      </c>
    </row>
    <row r="126" spans="1:9" x14ac:dyDescent="0.25">
      <c r="I126">
        <v>1956</v>
      </c>
    </row>
    <row r="127" spans="1:9" x14ac:dyDescent="0.25">
      <c r="I127">
        <v>1888</v>
      </c>
    </row>
    <row r="128" spans="1:9" x14ac:dyDescent="0.25">
      <c r="I128">
        <v>1875</v>
      </c>
    </row>
    <row r="129" spans="9:9" x14ac:dyDescent="0.25">
      <c r="I129">
        <v>1875</v>
      </c>
    </row>
    <row r="130" spans="9:9" x14ac:dyDescent="0.25">
      <c r="I130">
        <v>1895</v>
      </c>
    </row>
    <row r="131" spans="9:9" x14ac:dyDescent="0.25">
      <c r="I131">
        <v>1960</v>
      </c>
    </row>
    <row r="132" spans="9:9" x14ac:dyDescent="0.25">
      <c r="I132">
        <v>1960</v>
      </c>
    </row>
    <row r="133" spans="9:9" x14ac:dyDescent="0.25">
      <c r="I133">
        <v>1958</v>
      </c>
    </row>
    <row r="134" spans="9:9" x14ac:dyDescent="0.25">
      <c r="I134">
        <v>1958</v>
      </c>
    </row>
    <row r="135" spans="9:9" x14ac:dyDescent="0.25">
      <c r="I135">
        <v>1875</v>
      </c>
    </row>
    <row r="136" spans="9:9" x14ac:dyDescent="0.25">
      <c r="I136">
        <v>1875</v>
      </c>
    </row>
    <row r="137" spans="9:9" x14ac:dyDescent="0.25">
      <c r="I137">
        <v>1875</v>
      </c>
    </row>
    <row r="138" spans="9:9" x14ac:dyDescent="0.25">
      <c r="I138">
        <v>1948</v>
      </c>
    </row>
    <row r="139" spans="9:9" x14ac:dyDescent="0.25">
      <c r="I139">
        <v>1958</v>
      </c>
    </row>
    <row r="140" spans="9:9" x14ac:dyDescent="0.25">
      <c r="I140">
        <v>1893</v>
      </c>
    </row>
    <row r="141" spans="9:9" x14ac:dyDescent="0.25">
      <c r="I141">
        <v>1959</v>
      </c>
    </row>
    <row r="142" spans="9:9" x14ac:dyDescent="0.25">
      <c r="I142">
        <v>1959</v>
      </c>
    </row>
    <row r="143" spans="9:9" x14ac:dyDescent="0.25">
      <c r="I143">
        <v>1890</v>
      </c>
    </row>
    <row r="144" spans="9:9" x14ac:dyDescent="0.25">
      <c r="I144">
        <v>1901</v>
      </c>
    </row>
    <row r="145" spans="9:9" x14ac:dyDescent="0.25">
      <c r="I145">
        <v>1896</v>
      </c>
    </row>
    <row r="146" spans="9:9" x14ac:dyDescent="0.25">
      <c r="I146">
        <v>1922</v>
      </c>
    </row>
    <row r="147" spans="9:9" x14ac:dyDescent="0.25">
      <c r="I147">
        <v>1901</v>
      </c>
    </row>
    <row r="148" spans="9:9" x14ac:dyDescent="0.25">
      <c r="I148">
        <v>1960</v>
      </c>
    </row>
    <row r="149" spans="9:9" x14ac:dyDescent="0.25">
      <c r="I149">
        <v>1960</v>
      </c>
    </row>
    <row r="150" spans="9:9" x14ac:dyDescent="0.25">
      <c r="I150">
        <v>1973</v>
      </c>
    </row>
    <row r="151" spans="9:9" x14ac:dyDescent="0.25">
      <c r="I151">
        <v>1888</v>
      </c>
    </row>
    <row r="152" spans="9:9" x14ac:dyDescent="0.25">
      <c r="I152">
        <v>1896</v>
      </c>
    </row>
    <row r="153" spans="9:9" x14ac:dyDescent="0.25">
      <c r="I153">
        <v>1920</v>
      </c>
    </row>
    <row r="154" spans="9:9" x14ac:dyDescent="0.25">
      <c r="I154">
        <v>1978</v>
      </c>
    </row>
    <row r="155" spans="9:9" x14ac:dyDescent="0.25">
      <c r="I155">
        <v>1978</v>
      </c>
    </row>
    <row r="156" spans="9:9" x14ac:dyDescent="0.25">
      <c r="I156">
        <v>1961</v>
      </c>
    </row>
    <row r="157" spans="9:9" x14ac:dyDescent="0.25">
      <c r="I157">
        <v>1875</v>
      </c>
    </row>
    <row r="158" spans="9:9" x14ac:dyDescent="0.25">
      <c r="I158">
        <v>1978</v>
      </c>
    </row>
    <row r="159" spans="9:9" x14ac:dyDescent="0.25">
      <c r="I159">
        <v>1875</v>
      </c>
    </row>
    <row r="160" spans="9:9" x14ac:dyDescent="0.25">
      <c r="I160">
        <v>1887</v>
      </c>
    </row>
    <row r="161" spans="9:9" x14ac:dyDescent="0.25">
      <c r="I161">
        <v>1875</v>
      </c>
    </row>
    <row r="162" spans="9:9" x14ac:dyDescent="0.25">
      <c r="I162">
        <v>1878</v>
      </c>
    </row>
    <row r="163" spans="9:9" x14ac:dyDescent="0.25">
      <c r="I163">
        <v>1880</v>
      </c>
    </row>
    <row r="164" spans="9:9" x14ac:dyDescent="0.25">
      <c r="I164">
        <v>1956</v>
      </c>
    </row>
    <row r="165" spans="9:9" x14ac:dyDescent="0.25">
      <c r="I165">
        <v>1959</v>
      </c>
    </row>
    <row r="166" spans="9:9" x14ac:dyDescent="0.25">
      <c r="I166">
        <v>1960</v>
      </c>
    </row>
    <row r="167" spans="9:9" x14ac:dyDescent="0.25">
      <c r="I167">
        <v>1886</v>
      </c>
    </row>
    <row r="168" spans="9:9" x14ac:dyDescent="0.25">
      <c r="I168">
        <v>1958</v>
      </c>
    </row>
    <row r="169" spans="9:9" x14ac:dyDescent="0.25">
      <c r="I169">
        <v>1886</v>
      </c>
    </row>
    <row r="170" spans="9:9" x14ac:dyDescent="0.25">
      <c r="I170">
        <v>1887</v>
      </c>
    </row>
    <row r="171" spans="9:9" x14ac:dyDescent="0.25">
      <c r="I171">
        <v>1952</v>
      </c>
    </row>
    <row r="172" spans="9:9" x14ac:dyDescent="0.25">
      <c r="I172">
        <v>1900</v>
      </c>
    </row>
    <row r="173" spans="9:9" x14ac:dyDescent="0.25">
      <c r="I173">
        <v>1978</v>
      </c>
    </row>
    <row r="174" spans="9:9" x14ac:dyDescent="0.25">
      <c r="I174">
        <v>1887</v>
      </c>
    </row>
    <row r="175" spans="9:9" x14ac:dyDescent="0.25">
      <c r="I175">
        <v>1958</v>
      </c>
    </row>
    <row r="176" spans="9:9" x14ac:dyDescent="0.25">
      <c r="I176">
        <v>1960</v>
      </c>
    </row>
    <row r="177" spans="9:9" x14ac:dyDescent="0.25">
      <c r="I177">
        <v>1959</v>
      </c>
    </row>
    <row r="178" spans="9:9" x14ac:dyDescent="0.25">
      <c r="I178">
        <v>1895</v>
      </c>
    </row>
    <row r="179" spans="9:9" x14ac:dyDescent="0.25">
      <c r="I179">
        <v>1959</v>
      </c>
    </row>
    <row r="180" spans="9:9" x14ac:dyDescent="0.25">
      <c r="I180">
        <v>1960</v>
      </c>
    </row>
    <row r="181" spans="9:9" x14ac:dyDescent="0.25">
      <c r="I181">
        <v>1901</v>
      </c>
    </row>
    <row r="182" spans="9:9" x14ac:dyDescent="0.25">
      <c r="I182">
        <v>1958</v>
      </c>
    </row>
    <row r="183" spans="9:9" x14ac:dyDescent="0.25">
      <c r="I183">
        <v>1961</v>
      </c>
    </row>
    <row r="184" spans="9:9" x14ac:dyDescent="0.25">
      <c r="I184">
        <v>1958</v>
      </c>
    </row>
    <row r="185" spans="9:9" x14ac:dyDescent="0.25">
      <c r="I185">
        <v>1958</v>
      </c>
    </row>
    <row r="186" spans="9:9" x14ac:dyDescent="0.25">
      <c r="I186">
        <v>1959</v>
      </c>
    </row>
    <row r="187" spans="9:9" x14ac:dyDescent="0.25">
      <c r="I187">
        <v>1960</v>
      </c>
    </row>
    <row r="188" spans="9:9" x14ac:dyDescent="0.25">
      <c r="I188">
        <v>1896</v>
      </c>
    </row>
    <row r="189" spans="9:9" x14ac:dyDescent="0.25">
      <c r="I189">
        <v>1888</v>
      </c>
    </row>
    <row r="190" spans="9:9" x14ac:dyDescent="0.25">
      <c r="I190">
        <v>1956</v>
      </c>
    </row>
    <row r="191" spans="9:9" x14ac:dyDescent="0.25">
      <c r="I191">
        <v>1961</v>
      </c>
    </row>
    <row r="192" spans="9:9" x14ac:dyDescent="0.25">
      <c r="I192">
        <v>1961</v>
      </c>
    </row>
    <row r="193" spans="9:9" x14ac:dyDescent="0.25">
      <c r="I193">
        <v>1961</v>
      </c>
    </row>
    <row r="194" spans="9:9" x14ac:dyDescent="0.25">
      <c r="I194">
        <v>1892</v>
      </c>
    </row>
    <row r="195" spans="9:9" x14ac:dyDescent="0.25">
      <c r="I195">
        <v>1961</v>
      </c>
    </row>
    <row r="196" spans="9:9" x14ac:dyDescent="0.25">
      <c r="I196">
        <v>1960</v>
      </c>
    </row>
    <row r="197" spans="9:9" x14ac:dyDescent="0.25">
      <c r="I197">
        <v>1957</v>
      </c>
    </row>
    <row r="198" spans="9:9" x14ac:dyDescent="0.25">
      <c r="I198">
        <v>1959</v>
      </c>
    </row>
    <row r="199" spans="9:9" x14ac:dyDescent="0.25">
      <c r="I199">
        <v>1920</v>
      </c>
    </row>
    <row r="200" spans="9:9" x14ac:dyDescent="0.25">
      <c r="I200">
        <v>1919</v>
      </c>
    </row>
    <row r="201" spans="9:9" x14ac:dyDescent="0.25">
      <c r="I201">
        <v>1959</v>
      </c>
    </row>
    <row r="202" spans="9:9" x14ac:dyDescent="0.25">
      <c r="I202">
        <v>1958</v>
      </c>
    </row>
    <row r="203" spans="9:9" x14ac:dyDescent="0.25">
      <c r="I203">
        <v>1960</v>
      </c>
    </row>
    <row r="204" spans="9:9" x14ac:dyDescent="0.25">
      <c r="I204">
        <v>1958</v>
      </c>
    </row>
    <row r="205" spans="9:9" x14ac:dyDescent="0.25">
      <c r="I205">
        <v>1890</v>
      </c>
    </row>
    <row r="206" spans="9:9" x14ac:dyDescent="0.25">
      <c r="I206">
        <v>1960</v>
      </c>
    </row>
    <row r="207" spans="9:9" x14ac:dyDescent="0.25">
      <c r="I207">
        <v>1902</v>
      </c>
    </row>
    <row r="208" spans="9:9" x14ac:dyDescent="0.25">
      <c r="I208">
        <v>1898</v>
      </c>
    </row>
    <row r="209" spans="9:9" x14ac:dyDescent="0.25">
      <c r="I209">
        <v>1958</v>
      </c>
    </row>
    <row r="210" spans="9:9" x14ac:dyDescent="0.25">
      <c r="I210">
        <v>1958</v>
      </c>
    </row>
    <row r="211" spans="9:9" x14ac:dyDescent="0.25">
      <c r="I211">
        <v>1901</v>
      </c>
    </row>
    <row r="212" spans="9:9" x14ac:dyDescent="0.25">
      <c r="I212">
        <v>1960</v>
      </c>
    </row>
    <row r="213" spans="9:9" x14ac:dyDescent="0.25">
      <c r="I213">
        <v>1958</v>
      </c>
    </row>
    <row r="214" spans="9:9" x14ac:dyDescent="0.25">
      <c r="I214">
        <v>1891</v>
      </c>
    </row>
    <row r="215" spans="9:9" x14ac:dyDescent="0.25">
      <c r="I215">
        <v>1896</v>
      </c>
    </row>
    <row r="216" spans="9:9" x14ac:dyDescent="0.25">
      <c r="I216">
        <v>1895</v>
      </c>
    </row>
    <row r="217" spans="9:9" x14ac:dyDescent="0.25">
      <c r="I217">
        <v>1960</v>
      </c>
    </row>
    <row r="218" spans="9:9" x14ac:dyDescent="0.25">
      <c r="I218">
        <v>1897</v>
      </c>
    </row>
    <row r="219" spans="9:9" x14ac:dyDescent="0.25">
      <c r="I219">
        <v>1959</v>
      </c>
    </row>
    <row r="220" spans="9:9" x14ac:dyDescent="0.25">
      <c r="I220">
        <v>1960</v>
      </c>
    </row>
    <row r="221" spans="9:9" x14ac:dyDescent="0.25">
      <c r="I221">
        <v>1960</v>
      </c>
    </row>
    <row r="222" spans="9:9" x14ac:dyDescent="0.25">
      <c r="I222">
        <v>1897</v>
      </c>
    </row>
    <row r="223" spans="9:9" x14ac:dyDescent="0.25">
      <c r="I223">
        <v>1959</v>
      </c>
    </row>
    <row r="224" spans="9:9" x14ac:dyDescent="0.25">
      <c r="I224">
        <v>1921</v>
      </c>
    </row>
    <row r="225" spans="9:9" x14ac:dyDescent="0.25">
      <c r="I225">
        <v>1895</v>
      </c>
    </row>
    <row r="226" spans="9:9" x14ac:dyDescent="0.25">
      <c r="I226">
        <v>1960</v>
      </c>
    </row>
    <row r="227" spans="9:9" x14ac:dyDescent="0.25">
      <c r="I227">
        <v>1970</v>
      </c>
    </row>
    <row r="228" spans="9:9" x14ac:dyDescent="0.25">
      <c r="I228">
        <v>1961</v>
      </c>
    </row>
    <row r="229" spans="9:9" x14ac:dyDescent="0.25">
      <c r="I229">
        <v>1958</v>
      </c>
    </row>
    <row r="230" spans="9:9" x14ac:dyDescent="0.25">
      <c r="I230">
        <v>1959</v>
      </c>
    </row>
    <row r="231" spans="9:9" x14ac:dyDescent="0.25">
      <c r="I231">
        <v>1959</v>
      </c>
    </row>
    <row r="232" spans="9:9" x14ac:dyDescent="0.25">
      <c r="I232">
        <v>1959</v>
      </c>
    </row>
    <row r="233" spans="9:9" x14ac:dyDescent="0.25">
      <c r="I233">
        <v>1961</v>
      </c>
    </row>
    <row r="234" spans="9:9" x14ac:dyDescent="0.25">
      <c r="I234">
        <v>1963</v>
      </c>
    </row>
    <row r="235" spans="9:9" x14ac:dyDescent="0.25">
      <c r="I235">
        <v>1905</v>
      </c>
    </row>
    <row r="236" spans="9:9" x14ac:dyDescent="0.25">
      <c r="I236">
        <v>1957</v>
      </c>
    </row>
    <row r="237" spans="9:9" x14ac:dyDescent="0.25">
      <c r="I237">
        <v>1886</v>
      </c>
    </row>
    <row r="238" spans="9:9" x14ac:dyDescent="0.25">
      <c r="I238">
        <v>1957</v>
      </c>
    </row>
    <row r="239" spans="9:9" x14ac:dyDescent="0.25">
      <c r="I239">
        <v>1901</v>
      </c>
    </row>
    <row r="240" spans="9:9" x14ac:dyDescent="0.25">
      <c r="I240">
        <v>1946</v>
      </c>
    </row>
    <row r="241" spans="9:9" x14ac:dyDescent="0.25">
      <c r="I241">
        <v>1892</v>
      </c>
    </row>
    <row r="242" spans="9:9" x14ac:dyDescent="0.25">
      <c r="I242">
        <v>1960</v>
      </c>
    </row>
    <row r="243" spans="9:9" x14ac:dyDescent="0.25">
      <c r="I243">
        <v>1958</v>
      </c>
    </row>
    <row r="244" spans="9:9" x14ac:dyDescent="0.25">
      <c r="I244">
        <v>1959</v>
      </c>
    </row>
    <row r="245" spans="9:9" x14ac:dyDescent="0.25">
      <c r="I245">
        <v>1960</v>
      </c>
    </row>
    <row r="246" spans="9:9" x14ac:dyDescent="0.25">
      <c r="I246">
        <v>1958</v>
      </c>
    </row>
    <row r="247" spans="9:9" x14ac:dyDescent="0.25">
      <c r="I247">
        <v>1959</v>
      </c>
    </row>
    <row r="248" spans="9:9" x14ac:dyDescent="0.25">
      <c r="I248">
        <v>1959</v>
      </c>
    </row>
    <row r="249" spans="9:9" x14ac:dyDescent="0.25">
      <c r="I249">
        <v>1957</v>
      </c>
    </row>
    <row r="250" spans="9:9" x14ac:dyDescent="0.25">
      <c r="I250">
        <v>1957</v>
      </c>
    </row>
    <row r="251" spans="9:9" x14ac:dyDescent="0.25">
      <c r="I251">
        <v>1956</v>
      </c>
    </row>
    <row r="252" spans="9:9" x14ac:dyDescent="0.25">
      <c r="I252">
        <v>1956</v>
      </c>
    </row>
    <row r="253" spans="9:9" x14ac:dyDescent="0.25">
      <c r="I253">
        <v>1961</v>
      </c>
    </row>
    <row r="254" spans="9:9" x14ac:dyDescent="0.25">
      <c r="I254">
        <v>1978</v>
      </c>
    </row>
    <row r="255" spans="9:9" x14ac:dyDescent="0.25">
      <c r="I255">
        <v>1955</v>
      </c>
    </row>
    <row r="256" spans="9:9" x14ac:dyDescent="0.25">
      <c r="I256">
        <v>1960</v>
      </c>
    </row>
    <row r="257" spans="9:9" x14ac:dyDescent="0.25">
      <c r="I257">
        <v>1955</v>
      </c>
    </row>
    <row r="258" spans="9:9" x14ac:dyDescent="0.25">
      <c r="I258">
        <v>1957</v>
      </c>
    </row>
    <row r="259" spans="9:9" x14ac:dyDescent="0.25">
      <c r="I259">
        <v>1885</v>
      </c>
    </row>
    <row r="260" spans="9:9" x14ac:dyDescent="0.25">
      <c r="I260">
        <v>1956</v>
      </c>
    </row>
    <row r="261" spans="9:9" x14ac:dyDescent="0.25">
      <c r="I261">
        <v>1978</v>
      </c>
    </row>
    <row r="262" spans="9:9" x14ac:dyDescent="0.25">
      <c r="I262">
        <v>1978</v>
      </c>
    </row>
    <row r="263" spans="9:9" x14ac:dyDescent="0.25">
      <c r="I263">
        <v>1920</v>
      </c>
    </row>
    <row r="264" spans="9:9" x14ac:dyDescent="0.25">
      <c r="I264">
        <v>1959</v>
      </c>
    </row>
    <row r="265" spans="9:9" x14ac:dyDescent="0.25">
      <c r="I265">
        <v>1982</v>
      </c>
    </row>
    <row r="266" spans="9:9" x14ac:dyDescent="0.25">
      <c r="I266">
        <v>1956</v>
      </c>
    </row>
    <row r="267" spans="9:9" x14ac:dyDescent="0.25">
      <c r="I267">
        <v>1956</v>
      </c>
    </row>
    <row r="268" spans="9:9" x14ac:dyDescent="0.25">
      <c r="I268">
        <v>1958</v>
      </c>
    </row>
    <row r="269" spans="9:9" x14ac:dyDescent="0.25">
      <c r="I269">
        <v>1954</v>
      </c>
    </row>
    <row r="270" spans="9:9" x14ac:dyDescent="0.25">
      <c r="I270">
        <v>1920</v>
      </c>
    </row>
    <row r="271" spans="9:9" x14ac:dyDescent="0.25">
      <c r="I271">
        <v>1958</v>
      </c>
    </row>
    <row r="272" spans="9:9" x14ac:dyDescent="0.25">
      <c r="I272">
        <v>1978</v>
      </c>
    </row>
    <row r="273" spans="9:9" x14ac:dyDescent="0.25">
      <c r="I273">
        <v>1977</v>
      </c>
    </row>
    <row r="274" spans="9:9" x14ac:dyDescent="0.25">
      <c r="I274">
        <v>1957</v>
      </c>
    </row>
    <row r="275" spans="9:9" x14ac:dyDescent="0.25">
      <c r="I275">
        <v>1978</v>
      </c>
    </row>
    <row r="276" spans="9:9" x14ac:dyDescent="0.25">
      <c r="I276">
        <v>1957</v>
      </c>
    </row>
    <row r="277" spans="9:9" x14ac:dyDescent="0.25">
      <c r="I277">
        <v>1964</v>
      </c>
    </row>
    <row r="278" spans="9:9" x14ac:dyDescent="0.25">
      <c r="I278">
        <v>1964</v>
      </c>
    </row>
    <row r="279" spans="9:9" x14ac:dyDescent="0.25">
      <c r="I279">
        <v>1890</v>
      </c>
    </row>
    <row r="280" spans="9:9" x14ac:dyDescent="0.25">
      <c r="I280">
        <v>1892</v>
      </c>
    </row>
    <row r="281" spans="9:9" x14ac:dyDescent="0.25">
      <c r="I281">
        <v>1952</v>
      </c>
    </row>
    <row r="282" spans="9:9" x14ac:dyDescent="0.25">
      <c r="I282">
        <v>1977</v>
      </c>
    </row>
    <row r="283" spans="9:9" x14ac:dyDescent="0.25">
      <c r="I283">
        <v>1981</v>
      </c>
    </row>
    <row r="284" spans="9:9" x14ac:dyDescent="0.25">
      <c r="I284">
        <v>1956</v>
      </c>
    </row>
    <row r="285" spans="9:9" x14ac:dyDescent="0.25">
      <c r="I285">
        <v>1960</v>
      </c>
    </row>
    <row r="286" spans="9:9" x14ac:dyDescent="0.25">
      <c r="I286">
        <v>1960</v>
      </c>
    </row>
    <row r="287" spans="9:9" x14ac:dyDescent="0.25">
      <c r="I287">
        <v>1957</v>
      </c>
    </row>
    <row r="288" spans="9:9" x14ac:dyDescent="0.25">
      <c r="I288">
        <v>1956</v>
      </c>
    </row>
    <row r="289" spans="9:9" x14ac:dyDescent="0.25">
      <c r="I289">
        <v>1972</v>
      </c>
    </row>
    <row r="290" spans="9:9" x14ac:dyDescent="0.25">
      <c r="I290">
        <v>1951</v>
      </c>
    </row>
    <row r="291" spans="9:9" x14ac:dyDescent="0.25">
      <c r="I291">
        <v>1959</v>
      </c>
    </row>
    <row r="292" spans="9:9" x14ac:dyDescent="0.25">
      <c r="I292">
        <v>1960</v>
      </c>
    </row>
    <row r="293" spans="9:9" x14ac:dyDescent="0.25">
      <c r="I293">
        <v>1959</v>
      </c>
    </row>
    <row r="294" spans="9:9" x14ac:dyDescent="0.25">
      <c r="I294">
        <v>1957</v>
      </c>
    </row>
    <row r="295" spans="9:9" x14ac:dyDescent="0.25">
      <c r="I295">
        <v>1960</v>
      </c>
    </row>
    <row r="296" spans="9:9" x14ac:dyDescent="0.25">
      <c r="I296">
        <v>1956</v>
      </c>
    </row>
    <row r="297" spans="9:9" x14ac:dyDescent="0.25">
      <c r="I297">
        <v>1957</v>
      </c>
    </row>
    <row r="298" spans="9:9" x14ac:dyDescent="0.25">
      <c r="I298">
        <v>1956</v>
      </c>
    </row>
    <row r="299" spans="9:9" x14ac:dyDescent="0.25">
      <c r="I299">
        <v>1958</v>
      </c>
    </row>
    <row r="300" spans="9:9" x14ac:dyDescent="0.25">
      <c r="I300">
        <v>1959</v>
      </c>
    </row>
    <row r="301" spans="9:9" x14ac:dyDescent="0.25">
      <c r="I301">
        <v>1956</v>
      </c>
    </row>
    <row r="302" spans="9:9" x14ac:dyDescent="0.25">
      <c r="I302">
        <v>1960</v>
      </c>
    </row>
    <row r="303" spans="9:9" x14ac:dyDescent="0.25">
      <c r="I303">
        <v>1960</v>
      </c>
    </row>
    <row r="304" spans="9:9" x14ac:dyDescent="0.25">
      <c r="I304">
        <v>1958</v>
      </c>
    </row>
    <row r="305" spans="9:9" x14ac:dyDescent="0.25">
      <c r="I305">
        <v>1960</v>
      </c>
    </row>
    <row r="306" spans="9:9" x14ac:dyDescent="0.25">
      <c r="I306">
        <v>1960</v>
      </c>
    </row>
    <row r="307" spans="9:9" x14ac:dyDescent="0.25">
      <c r="I307">
        <v>1960</v>
      </c>
    </row>
    <row r="308" spans="9:9" x14ac:dyDescent="0.25">
      <c r="I308">
        <v>1960</v>
      </c>
    </row>
    <row r="309" spans="9:9" x14ac:dyDescent="0.25">
      <c r="I309">
        <v>1956</v>
      </c>
    </row>
    <row r="310" spans="9:9" x14ac:dyDescent="0.25">
      <c r="I310">
        <v>1956</v>
      </c>
    </row>
    <row r="311" spans="9:9" x14ac:dyDescent="0.25">
      <c r="I311">
        <v>1959</v>
      </c>
    </row>
    <row r="312" spans="9:9" x14ac:dyDescent="0.25">
      <c r="I312">
        <v>1960</v>
      </c>
    </row>
    <row r="313" spans="9:9" x14ac:dyDescent="0.25">
      <c r="I313">
        <v>1956</v>
      </c>
    </row>
    <row r="314" spans="9:9" x14ac:dyDescent="0.25">
      <c r="I314">
        <v>1875</v>
      </c>
    </row>
    <row r="315" spans="9:9" x14ac:dyDescent="0.25">
      <c r="I315">
        <v>1881</v>
      </c>
    </row>
    <row r="316" spans="9:9" x14ac:dyDescent="0.25">
      <c r="I316">
        <v>1885</v>
      </c>
    </row>
    <row r="317" spans="9:9" x14ac:dyDescent="0.25">
      <c r="I317">
        <v>1885</v>
      </c>
    </row>
    <row r="318" spans="9:9" x14ac:dyDescent="0.25">
      <c r="I318">
        <v>1961</v>
      </c>
    </row>
    <row r="319" spans="9:9" x14ac:dyDescent="0.25">
      <c r="I319">
        <v>1891</v>
      </c>
    </row>
    <row r="320" spans="9:9" x14ac:dyDescent="0.25">
      <c r="I320">
        <v>1960</v>
      </c>
    </row>
    <row r="321" spans="9:9" x14ac:dyDescent="0.25">
      <c r="I321">
        <v>1875</v>
      </c>
    </row>
    <row r="322" spans="9:9" x14ac:dyDescent="0.25">
      <c r="I322">
        <v>1961</v>
      </c>
    </row>
    <row r="323" spans="9:9" x14ac:dyDescent="0.25">
      <c r="I323">
        <v>1960</v>
      </c>
    </row>
    <row r="324" spans="9:9" x14ac:dyDescent="0.25">
      <c r="I324">
        <v>1959</v>
      </c>
    </row>
    <row r="325" spans="9:9" x14ac:dyDescent="0.25">
      <c r="I325">
        <v>1947</v>
      </c>
    </row>
    <row r="326" spans="9:9" x14ac:dyDescent="0.25">
      <c r="I326">
        <v>1957</v>
      </c>
    </row>
    <row r="327" spans="9:9" x14ac:dyDescent="0.25">
      <c r="I327">
        <v>1957</v>
      </c>
    </row>
    <row r="328" spans="9:9" x14ac:dyDescent="0.25">
      <c r="I328">
        <v>1958</v>
      </c>
    </row>
    <row r="329" spans="9:9" x14ac:dyDescent="0.25">
      <c r="I329">
        <v>1958</v>
      </c>
    </row>
    <row r="330" spans="9:9" x14ac:dyDescent="0.25">
      <c r="I330">
        <v>1965</v>
      </c>
    </row>
    <row r="331" spans="9:9" x14ac:dyDescent="0.25">
      <c r="I331">
        <v>1949</v>
      </c>
    </row>
    <row r="332" spans="9:9" x14ac:dyDescent="0.25">
      <c r="I332">
        <v>1910</v>
      </c>
    </row>
    <row r="333" spans="9:9" x14ac:dyDescent="0.25">
      <c r="I333">
        <v>1951</v>
      </c>
    </row>
    <row r="334" spans="9:9" x14ac:dyDescent="0.25">
      <c r="I334">
        <v>1956</v>
      </c>
    </row>
    <row r="335" spans="9:9" x14ac:dyDescent="0.25">
      <c r="I335">
        <v>1957</v>
      </c>
    </row>
    <row r="336" spans="9:9" x14ac:dyDescent="0.25">
      <c r="I336">
        <v>1964</v>
      </c>
    </row>
    <row r="337" spans="9:9" x14ac:dyDescent="0.25">
      <c r="I337">
        <v>1957</v>
      </c>
    </row>
    <row r="338" spans="9:9" x14ac:dyDescent="0.25">
      <c r="I338">
        <v>1891</v>
      </c>
    </row>
    <row r="339" spans="9:9" x14ac:dyDescent="0.25">
      <c r="I339">
        <v>1957</v>
      </c>
    </row>
    <row r="340" spans="9:9" x14ac:dyDescent="0.25">
      <c r="I340">
        <v>1898</v>
      </c>
    </row>
    <row r="341" spans="9:9" x14ac:dyDescent="0.25">
      <c r="I341">
        <v>1956</v>
      </c>
    </row>
    <row r="342" spans="9:9" x14ac:dyDescent="0.25">
      <c r="I342">
        <v>1959</v>
      </c>
    </row>
    <row r="343" spans="9:9" x14ac:dyDescent="0.25">
      <c r="I343">
        <v>1959</v>
      </c>
    </row>
    <row r="344" spans="9:9" x14ac:dyDescent="0.25">
      <c r="I344">
        <v>1908</v>
      </c>
    </row>
    <row r="345" spans="9:9" x14ac:dyDescent="0.25">
      <c r="I345">
        <v>1964</v>
      </c>
    </row>
    <row r="346" spans="9:9" x14ac:dyDescent="0.25">
      <c r="I346">
        <v>1960</v>
      </c>
    </row>
    <row r="347" spans="9:9" x14ac:dyDescent="0.25">
      <c r="I347">
        <v>1964</v>
      </c>
    </row>
    <row r="348" spans="9:9" x14ac:dyDescent="0.25">
      <c r="I348">
        <v>1978</v>
      </c>
    </row>
    <row r="349" spans="9:9" x14ac:dyDescent="0.25">
      <c r="I349">
        <v>1957</v>
      </c>
    </row>
    <row r="350" spans="9:9" x14ac:dyDescent="0.25">
      <c r="I350">
        <v>1959</v>
      </c>
    </row>
    <row r="351" spans="9:9" x14ac:dyDescent="0.25">
      <c r="I351">
        <v>1964</v>
      </c>
    </row>
    <row r="352" spans="9:9" x14ac:dyDescent="0.25">
      <c r="I352">
        <v>1964</v>
      </c>
    </row>
    <row r="353" spans="9:9" x14ac:dyDescent="0.25">
      <c r="I353">
        <v>1958</v>
      </c>
    </row>
    <row r="354" spans="9:9" x14ac:dyDescent="0.25">
      <c r="I354">
        <v>1959</v>
      </c>
    </row>
  </sheetData>
  <sortState xmlns:xlrd2="http://schemas.microsoft.com/office/spreadsheetml/2017/richdata2" ref="E58:E114">
    <sortCondition ref="E58:E114"/>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FD07-06D1-4344-B580-658903206791}">
  <sheetPr codeName="Foglio7"/>
  <dimension ref="A3:E161"/>
  <sheetViews>
    <sheetView workbookViewId="0">
      <selection activeCell="E26" sqref="E26:E27"/>
    </sheetView>
  </sheetViews>
  <sheetFormatPr defaultRowHeight="15" x14ac:dyDescent="0.25"/>
  <cols>
    <col min="1" max="1" width="43.5703125" bestFit="1" customWidth="1"/>
    <col min="2" max="2" width="27.140625" bestFit="1" customWidth="1"/>
  </cols>
  <sheetData>
    <row r="3" spans="1:4" x14ac:dyDescent="0.25">
      <c r="A3" s="5" t="s">
        <v>994</v>
      </c>
      <c r="B3" t="s">
        <v>1160</v>
      </c>
    </row>
    <row r="4" spans="1:4" x14ac:dyDescent="0.25">
      <c r="A4" s="6" t="s">
        <v>1003</v>
      </c>
      <c r="B4">
        <v>2</v>
      </c>
    </row>
    <row r="5" spans="1:4" x14ac:dyDescent="0.25">
      <c r="A5" s="6" t="s">
        <v>1004</v>
      </c>
      <c r="B5">
        <v>5</v>
      </c>
      <c r="D5" s="4">
        <v>1</v>
      </c>
    </row>
    <row r="6" spans="1:4" x14ac:dyDescent="0.25">
      <c r="A6" s="6" t="s">
        <v>1005</v>
      </c>
      <c r="B6">
        <v>1</v>
      </c>
      <c r="D6" s="4">
        <v>2</v>
      </c>
    </row>
    <row r="7" spans="1:4" x14ac:dyDescent="0.25">
      <c r="A7" s="6" t="s">
        <v>1006</v>
      </c>
      <c r="B7">
        <v>1</v>
      </c>
      <c r="D7" s="4">
        <v>3</v>
      </c>
    </row>
    <row r="8" spans="1:4" x14ac:dyDescent="0.25">
      <c r="A8" s="6" t="s">
        <v>1007</v>
      </c>
      <c r="B8">
        <v>2</v>
      </c>
      <c r="D8" s="4">
        <v>4</v>
      </c>
    </row>
    <row r="9" spans="1:4" x14ac:dyDescent="0.25">
      <c r="A9" s="6" t="s">
        <v>1008</v>
      </c>
      <c r="B9">
        <v>2</v>
      </c>
      <c r="D9" s="4">
        <v>5</v>
      </c>
    </row>
    <row r="10" spans="1:4" x14ac:dyDescent="0.25">
      <c r="A10" s="6" t="s">
        <v>1009</v>
      </c>
      <c r="B10">
        <v>1</v>
      </c>
      <c r="D10" s="4">
        <v>6</v>
      </c>
    </row>
    <row r="11" spans="1:4" x14ac:dyDescent="0.25">
      <c r="A11" s="6" t="s">
        <v>1010</v>
      </c>
      <c r="B11">
        <v>1</v>
      </c>
      <c r="D11" s="4">
        <v>7</v>
      </c>
    </row>
    <row r="12" spans="1:4" x14ac:dyDescent="0.25">
      <c r="A12" s="6" t="s">
        <v>1011</v>
      </c>
      <c r="B12">
        <v>2</v>
      </c>
      <c r="D12" s="4">
        <v>8</v>
      </c>
    </row>
    <row r="13" spans="1:4" x14ac:dyDescent="0.25">
      <c r="A13" s="6" t="s">
        <v>1012</v>
      </c>
      <c r="B13">
        <v>2</v>
      </c>
      <c r="D13" s="4">
        <v>9</v>
      </c>
    </row>
    <row r="14" spans="1:4" x14ac:dyDescent="0.25">
      <c r="A14" s="6" t="s">
        <v>1013</v>
      </c>
      <c r="B14">
        <v>5</v>
      </c>
      <c r="D14" s="4">
        <v>10</v>
      </c>
    </row>
    <row r="15" spans="1:4" x14ac:dyDescent="0.25">
      <c r="A15" s="6" t="s">
        <v>1014</v>
      </c>
      <c r="B15">
        <v>1</v>
      </c>
      <c r="D15" s="4">
        <v>11</v>
      </c>
    </row>
    <row r="16" spans="1:4" x14ac:dyDescent="0.25">
      <c r="A16" s="6" t="s">
        <v>1015</v>
      </c>
      <c r="B16">
        <v>1</v>
      </c>
      <c r="D16" s="4">
        <v>12</v>
      </c>
    </row>
    <row r="17" spans="1:5" x14ac:dyDescent="0.25">
      <c r="A17" s="6" t="s">
        <v>1016</v>
      </c>
      <c r="B17">
        <v>1</v>
      </c>
      <c r="D17" s="4">
        <v>13</v>
      </c>
    </row>
    <row r="18" spans="1:5" x14ac:dyDescent="0.25">
      <c r="A18" s="6" t="s">
        <v>1017</v>
      </c>
      <c r="B18">
        <v>1</v>
      </c>
      <c r="D18" s="4">
        <v>14</v>
      </c>
    </row>
    <row r="19" spans="1:5" x14ac:dyDescent="0.25">
      <c r="A19" s="6" t="s">
        <v>1018</v>
      </c>
      <c r="B19">
        <v>1</v>
      </c>
      <c r="D19" s="4">
        <v>15</v>
      </c>
    </row>
    <row r="20" spans="1:5" x14ac:dyDescent="0.25">
      <c r="A20" s="6" t="s">
        <v>1019</v>
      </c>
      <c r="B20">
        <v>5</v>
      </c>
      <c r="D20" s="4">
        <v>16</v>
      </c>
    </row>
    <row r="21" spans="1:5" x14ac:dyDescent="0.25">
      <c r="A21" s="6" t="s">
        <v>1020</v>
      </c>
      <c r="B21">
        <v>2</v>
      </c>
      <c r="D21" s="4">
        <v>17</v>
      </c>
    </row>
    <row r="22" spans="1:5" x14ac:dyDescent="0.25">
      <c r="A22" s="6" t="s">
        <v>1021</v>
      </c>
      <c r="B22">
        <v>1</v>
      </c>
      <c r="D22" s="4">
        <v>18</v>
      </c>
    </row>
    <row r="23" spans="1:5" x14ac:dyDescent="0.25">
      <c r="A23" s="6" t="s">
        <v>1022</v>
      </c>
      <c r="B23">
        <v>2</v>
      </c>
      <c r="D23" s="4">
        <v>19</v>
      </c>
    </row>
    <row r="24" spans="1:5" x14ac:dyDescent="0.25">
      <c r="A24" s="6" t="s">
        <v>1023</v>
      </c>
      <c r="B24">
        <v>3</v>
      </c>
      <c r="D24" s="4">
        <v>20</v>
      </c>
    </row>
    <row r="25" spans="1:5" x14ac:dyDescent="0.25">
      <c r="A25" s="6" t="s">
        <v>1024</v>
      </c>
      <c r="B25">
        <v>4</v>
      </c>
      <c r="D25" s="4">
        <v>21</v>
      </c>
    </row>
    <row r="26" spans="1:5" x14ac:dyDescent="0.25">
      <c r="A26" s="17" t="s">
        <v>1025</v>
      </c>
      <c r="B26">
        <v>1</v>
      </c>
      <c r="D26" s="4">
        <v>22</v>
      </c>
      <c r="E26" t="s">
        <v>1479</v>
      </c>
    </row>
    <row r="27" spans="1:5" x14ac:dyDescent="0.25">
      <c r="A27" s="17" t="s">
        <v>1026</v>
      </c>
      <c r="B27">
        <v>1</v>
      </c>
      <c r="D27" s="4">
        <v>23</v>
      </c>
      <c r="E27" t="s">
        <v>1479</v>
      </c>
    </row>
    <row r="28" spans="1:5" x14ac:dyDescent="0.25">
      <c r="A28" s="6" t="s">
        <v>1027</v>
      </c>
      <c r="B28">
        <v>1</v>
      </c>
      <c r="D28" s="4">
        <v>24</v>
      </c>
    </row>
    <row r="29" spans="1:5" x14ac:dyDescent="0.25">
      <c r="A29" s="6" t="s">
        <v>1028</v>
      </c>
      <c r="B29">
        <v>2</v>
      </c>
      <c r="D29" s="4">
        <v>25</v>
      </c>
    </row>
    <row r="30" spans="1:5" x14ac:dyDescent="0.25">
      <c r="A30" s="6" t="s">
        <v>1029</v>
      </c>
      <c r="B30">
        <v>5</v>
      </c>
      <c r="D30" s="4">
        <v>26</v>
      </c>
    </row>
    <row r="31" spans="1:5" x14ac:dyDescent="0.25">
      <c r="A31" s="6" t="s">
        <v>1030</v>
      </c>
      <c r="B31">
        <v>1</v>
      </c>
      <c r="D31" s="4">
        <v>27</v>
      </c>
    </row>
    <row r="32" spans="1:5" x14ac:dyDescent="0.25">
      <c r="A32" s="6" t="s">
        <v>1031</v>
      </c>
      <c r="B32">
        <v>4</v>
      </c>
      <c r="D32" s="4">
        <v>28</v>
      </c>
    </row>
    <row r="33" spans="1:4" x14ac:dyDescent="0.25">
      <c r="A33" s="6" t="s">
        <v>1032</v>
      </c>
      <c r="B33">
        <v>3</v>
      </c>
      <c r="D33" s="4">
        <v>29</v>
      </c>
    </row>
    <row r="34" spans="1:4" x14ac:dyDescent="0.25">
      <c r="A34" s="6" t="s">
        <v>1033</v>
      </c>
      <c r="B34">
        <v>1</v>
      </c>
      <c r="D34" s="4">
        <v>30</v>
      </c>
    </row>
    <row r="35" spans="1:4" x14ac:dyDescent="0.25">
      <c r="A35" s="6" t="s">
        <v>1034</v>
      </c>
      <c r="B35">
        <v>3</v>
      </c>
      <c r="D35" s="4">
        <v>31</v>
      </c>
    </row>
    <row r="36" spans="1:4" x14ac:dyDescent="0.25">
      <c r="A36" s="6" t="s">
        <v>1035</v>
      </c>
      <c r="B36">
        <v>1</v>
      </c>
      <c r="D36" s="4">
        <v>32</v>
      </c>
    </row>
    <row r="37" spans="1:4" x14ac:dyDescent="0.25">
      <c r="A37" s="6" t="s">
        <v>1036</v>
      </c>
      <c r="B37">
        <v>1</v>
      </c>
      <c r="D37" s="4">
        <v>33</v>
      </c>
    </row>
    <row r="38" spans="1:4" x14ac:dyDescent="0.25">
      <c r="A38" s="6" t="s">
        <v>1037</v>
      </c>
      <c r="B38">
        <v>1</v>
      </c>
      <c r="D38" s="4">
        <v>34</v>
      </c>
    </row>
    <row r="39" spans="1:4" x14ac:dyDescent="0.25">
      <c r="A39" s="6" t="s">
        <v>1038</v>
      </c>
      <c r="B39">
        <v>2</v>
      </c>
      <c r="D39" s="4">
        <v>35</v>
      </c>
    </row>
    <row r="40" spans="1:4" x14ac:dyDescent="0.25">
      <c r="A40" s="6" t="s">
        <v>1039</v>
      </c>
      <c r="B40">
        <v>2</v>
      </c>
      <c r="D40" s="4">
        <v>36</v>
      </c>
    </row>
    <row r="41" spans="1:4" x14ac:dyDescent="0.25">
      <c r="A41" s="6" t="s">
        <v>1040</v>
      </c>
      <c r="B41">
        <v>1</v>
      </c>
      <c r="D41" s="4">
        <v>37</v>
      </c>
    </row>
    <row r="42" spans="1:4" x14ac:dyDescent="0.25">
      <c r="A42" s="6" t="s">
        <v>1041</v>
      </c>
      <c r="B42">
        <v>2</v>
      </c>
      <c r="D42" s="4">
        <v>38</v>
      </c>
    </row>
    <row r="43" spans="1:4" x14ac:dyDescent="0.25">
      <c r="A43" s="6" t="s">
        <v>1042</v>
      </c>
      <c r="B43">
        <v>2</v>
      </c>
      <c r="D43" s="4">
        <v>39</v>
      </c>
    </row>
    <row r="44" spans="1:4" x14ac:dyDescent="0.25">
      <c r="A44" s="6" t="s">
        <v>1043</v>
      </c>
      <c r="B44">
        <v>1</v>
      </c>
      <c r="D44" s="4">
        <v>40</v>
      </c>
    </row>
    <row r="45" spans="1:4" x14ac:dyDescent="0.25">
      <c r="A45" s="6" t="s">
        <v>1044</v>
      </c>
      <c r="B45">
        <v>3</v>
      </c>
      <c r="D45" s="4">
        <v>41</v>
      </c>
    </row>
    <row r="46" spans="1:4" x14ac:dyDescent="0.25">
      <c r="A46" s="6" t="s">
        <v>1045</v>
      </c>
      <c r="B46">
        <v>2</v>
      </c>
      <c r="D46" s="4">
        <v>42</v>
      </c>
    </row>
    <row r="47" spans="1:4" x14ac:dyDescent="0.25">
      <c r="A47" s="6" t="s">
        <v>1046</v>
      </c>
      <c r="B47">
        <v>2</v>
      </c>
      <c r="D47" s="4">
        <v>43</v>
      </c>
    </row>
    <row r="48" spans="1:4" x14ac:dyDescent="0.25">
      <c r="A48" s="6" t="s">
        <v>1047</v>
      </c>
      <c r="B48">
        <v>1</v>
      </c>
      <c r="D48" s="4">
        <v>44</v>
      </c>
    </row>
    <row r="49" spans="1:4" x14ac:dyDescent="0.25">
      <c r="A49" s="6" t="s">
        <v>1048</v>
      </c>
      <c r="B49">
        <v>1</v>
      </c>
      <c r="D49" s="4">
        <v>45</v>
      </c>
    </row>
    <row r="50" spans="1:4" x14ac:dyDescent="0.25">
      <c r="A50" s="6" t="s">
        <v>1049</v>
      </c>
      <c r="B50">
        <v>1</v>
      </c>
      <c r="D50" s="4">
        <v>46</v>
      </c>
    </row>
    <row r="51" spans="1:4" x14ac:dyDescent="0.25">
      <c r="A51" s="6" t="s">
        <v>1050</v>
      </c>
      <c r="B51">
        <v>2</v>
      </c>
      <c r="D51" s="4">
        <v>47</v>
      </c>
    </row>
    <row r="52" spans="1:4" x14ac:dyDescent="0.25">
      <c r="A52" s="6" t="s">
        <v>1051</v>
      </c>
      <c r="B52">
        <v>1</v>
      </c>
      <c r="D52" s="4">
        <v>48</v>
      </c>
    </row>
    <row r="53" spans="1:4" x14ac:dyDescent="0.25">
      <c r="A53" s="6" t="s">
        <v>1052</v>
      </c>
      <c r="B53">
        <v>3</v>
      </c>
      <c r="D53" s="4">
        <v>49</v>
      </c>
    </row>
    <row r="54" spans="1:4" x14ac:dyDescent="0.25">
      <c r="A54" s="6" t="s">
        <v>1053</v>
      </c>
      <c r="B54">
        <v>3</v>
      </c>
      <c r="D54" s="4">
        <v>50</v>
      </c>
    </row>
    <row r="55" spans="1:4" x14ac:dyDescent="0.25">
      <c r="A55" s="6" t="s">
        <v>1054</v>
      </c>
      <c r="B55">
        <v>1</v>
      </c>
      <c r="D55" s="4">
        <v>51</v>
      </c>
    </row>
    <row r="56" spans="1:4" x14ac:dyDescent="0.25">
      <c r="A56" s="6" t="s">
        <v>1055</v>
      </c>
      <c r="B56">
        <v>1</v>
      </c>
      <c r="D56" s="4">
        <v>52</v>
      </c>
    </row>
    <row r="57" spans="1:4" x14ac:dyDescent="0.25">
      <c r="A57" s="6" t="s">
        <v>1056</v>
      </c>
      <c r="B57">
        <v>4</v>
      </c>
      <c r="D57" s="4">
        <v>53</v>
      </c>
    </row>
    <row r="58" spans="1:4" x14ac:dyDescent="0.25">
      <c r="A58" s="6" t="s">
        <v>1057</v>
      </c>
      <c r="B58">
        <v>1</v>
      </c>
      <c r="D58" s="4">
        <v>54</v>
      </c>
    </row>
    <row r="59" spans="1:4" x14ac:dyDescent="0.25">
      <c r="A59" s="6" t="s">
        <v>1058</v>
      </c>
      <c r="B59">
        <v>1</v>
      </c>
      <c r="D59" s="4">
        <v>55</v>
      </c>
    </row>
    <row r="60" spans="1:4" x14ac:dyDescent="0.25">
      <c r="A60" s="6" t="s">
        <v>1059</v>
      </c>
      <c r="B60">
        <v>3</v>
      </c>
      <c r="D60" s="4">
        <v>56</v>
      </c>
    </row>
    <row r="61" spans="1:4" x14ac:dyDescent="0.25">
      <c r="A61" s="6" t="s">
        <v>1060</v>
      </c>
      <c r="B61">
        <v>1</v>
      </c>
      <c r="D61" s="4">
        <v>57</v>
      </c>
    </row>
    <row r="62" spans="1:4" x14ac:dyDescent="0.25">
      <c r="A62" s="6" t="s">
        <v>1061</v>
      </c>
      <c r="B62">
        <v>2</v>
      </c>
      <c r="D62" s="4">
        <v>58</v>
      </c>
    </row>
    <row r="63" spans="1:4" x14ac:dyDescent="0.25">
      <c r="A63" s="6" t="s">
        <v>1062</v>
      </c>
      <c r="B63">
        <v>1</v>
      </c>
      <c r="D63" s="4">
        <v>59</v>
      </c>
    </row>
    <row r="64" spans="1:4" x14ac:dyDescent="0.25">
      <c r="A64" s="6" t="s">
        <v>1063</v>
      </c>
      <c r="B64">
        <v>1</v>
      </c>
      <c r="D64" s="4">
        <v>60</v>
      </c>
    </row>
    <row r="65" spans="1:4" x14ac:dyDescent="0.25">
      <c r="A65" s="6" t="s">
        <v>1064</v>
      </c>
      <c r="B65">
        <v>3</v>
      </c>
      <c r="D65" s="4">
        <v>61</v>
      </c>
    </row>
    <row r="66" spans="1:4" x14ac:dyDescent="0.25">
      <c r="A66" s="6" t="s">
        <v>1065</v>
      </c>
      <c r="B66">
        <v>4</v>
      </c>
      <c r="D66" s="4">
        <v>62</v>
      </c>
    </row>
    <row r="67" spans="1:4" x14ac:dyDescent="0.25">
      <c r="A67" s="6" t="s">
        <v>1066</v>
      </c>
      <c r="B67">
        <v>1</v>
      </c>
      <c r="D67" s="4">
        <v>63</v>
      </c>
    </row>
    <row r="68" spans="1:4" x14ac:dyDescent="0.25">
      <c r="A68" s="6" t="s">
        <v>1067</v>
      </c>
      <c r="B68">
        <v>3</v>
      </c>
      <c r="D68" s="4">
        <v>64</v>
      </c>
    </row>
    <row r="69" spans="1:4" x14ac:dyDescent="0.25">
      <c r="A69" s="6" t="s">
        <v>1068</v>
      </c>
      <c r="B69">
        <v>1</v>
      </c>
      <c r="D69" s="4">
        <v>65</v>
      </c>
    </row>
    <row r="70" spans="1:4" x14ac:dyDescent="0.25">
      <c r="A70" s="6" t="s">
        <v>1069</v>
      </c>
      <c r="B70">
        <v>3</v>
      </c>
      <c r="D70" s="4">
        <v>66</v>
      </c>
    </row>
    <row r="71" spans="1:4" x14ac:dyDescent="0.25">
      <c r="A71" s="6" t="s">
        <v>1070</v>
      </c>
      <c r="B71">
        <v>1</v>
      </c>
      <c r="D71" s="4">
        <v>67</v>
      </c>
    </row>
    <row r="72" spans="1:4" x14ac:dyDescent="0.25">
      <c r="A72" s="6" t="s">
        <v>1071</v>
      </c>
      <c r="B72">
        <v>2</v>
      </c>
      <c r="D72" s="4">
        <v>68</v>
      </c>
    </row>
    <row r="73" spans="1:4" x14ac:dyDescent="0.25">
      <c r="A73" s="6" t="s">
        <v>1072</v>
      </c>
      <c r="B73">
        <v>1</v>
      </c>
      <c r="D73" s="4">
        <v>69</v>
      </c>
    </row>
    <row r="74" spans="1:4" x14ac:dyDescent="0.25">
      <c r="A74" s="6" t="s">
        <v>1073</v>
      </c>
      <c r="B74">
        <v>2</v>
      </c>
      <c r="D74" s="4">
        <v>70</v>
      </c>
    </row>
    <row r="75" spans="1:4" x14ac:dyDescent="0.25">
      <c r="A75" s="6" t="s">
        <v>1074</v>
      </c>
      <c r="B75">
        <v>4</v>
      </c>
      <c r="D75" s="4">
        <v>71</v>
      </c>
    </row>
    <row r="76" spans="1:4" x14ac:dyDescent="0.25">
      <c r="A76" s="6" t="s">
        <v>1075</v>
      </c>
      <c r="B76">
        <v>2</v>
      </c>
      <c r="D76" s="4">
        <v>72</v>
      </c>
    </row>
    <row r="77" spans="1:4" x14ac:dyDescent="0.25">
      <c r="A77" s="6" t="s">
        <v>1076</v>
      </c>
      <c r="B77">
        <v>1</v>
      </c>
      <c r="D77" s="4">
        <v>73</v>
      </c>
    </row>
    <row r="78" spans="1:4" x14ac:dyDescent="0.25">
      <c r="A78" s="6" t="s">
        <v>1077</v>
      </c>
      <c r="B78">
        <v>1</v>
      </c>
      <c r="D78" s="4">
        <v>74</v>
      </c>
    </row>
    <row r="79" spans="1:4" x14ac:dyDescent="0.25">
      <c r="A79" s="6" t="s">
        <v>1078</v>
      </c>
      <c r="B79">
        <v>1</v>
      </c>
      <c r="D79" s="4">
        <v>75</v>
      </c>
    </row>
    <row r="80" spans="1:4" x14ac:dyDescent="0.25">
      <c r="A80" s="6" t="s">
        <v>1079</v>
      </c>
      <c r="B80">
        <v>1</v>
      </c>
      <c r="D80" s="4">
        <v>76</v>
      </c>
    </row>
    <row r="81" spans="1:4" x14ac:dyDescent="0.25">
      <c r="A81" s="6" t="s">
        <v>1080</v>
      </c>
      <c r="B81">
        <v>1</v>
      </c>
      <c r="D81" s="4">
        <v>77</v>
      </c>
    </row>
    <row r="82" spans="1:4" x14ac:dyDescent="0.25">
      <c r="A82" s="6" t="s">
        <v>1081</v>
      </c>
      <c r="B82">
        <v>4</v>
      </c>
      <c r="D82" s="4">
        <v>78</v>
      </c>
    </row>
    <row r="83" spans="1:4" x14ac:dyDescent="0.25">
      <c r="A83" s="6" t="s">
        <v>1082</v>
      </c>
      <c r="B83">
        <v>2</v>
      </c>
      <c r="D83" s="4">
        <v>79</v>
      </c>
    </row>
    <row r="84" spans="1:4" x14ac:dyDescent="0.25">
      <c r="A84" s="6" t="s">
        <v>1083</v>
      </c>
      <c r="B84">
        <v>1</v>
      </c>
      <c r="D84" s="4">
        <v>80</v>
      </c>
    </row>
    <row r="85" spans="1:4" x14ac:dyDescent="0.25">
      <c r="A85" s="6" t="s">
        <v>1084</v>
      </c>
      <c r="B85">
        <v>1</v>
      </c>
      <c r="D85" s="4">
        <v>81</v>
      </c>
    </row>
    <row r="86" spans="1:4" x14ac:dyDescent="0.25">
      <c r="A86" s="6" t="s">
        <v>1085</v>
      </c>
      <c r="B86">
        <v>1</v>
      </c>
      <c r="D86" s="4">
        <v>82</v>
      </c>
    </row>
    <row r="87" spans="1:4" x14ac:dyDescent="0.25">
      <c r="A87" s="6" t="s">
        <v>1086</v>
      </c>
      <c r="B87">
        <v>1</v>
      </c>
      <c r="D87" s="4">
        <v>83</v>
      </c>
    </row>
    <row r="88" spans="1:4" x14ac:dyDescent="0.25">
      <c r="A88" s="6" t="s">
        <v>1087</v>
      </c>
      <c r="B88">
        <v>1</v>
      </c>
      <c r="D88" s="4">
        <v>84</v>
      </c>
    </row>
    <row r="89" spans="1:4" x14ac:dyDescent="0.25">
      <c r="A89" s="6" t="s">
        <v>1088</v>
      </c>
      <c r="B89">
        <v>4</v>
      </c>
      <c r="D89" s="4">
        <v>85</v>
      </c>
    </row>
    <row r="90" spans="1:4" x14ac:dyDescent="0.25">
      <c r="A90" s="6" t="s">
        <v>1089</v>
      </c>
      <c r="B90">
        <v>1</v>
      </c>
      <c r="D90" s="4">
        <v>86</v>
      </c>
    </row>
    <row r="91" spans="1:4" x14ac:dyDescent="0.25">
      <c r="A91" s="6" t="s">
        <v>1090</v>
      </c>
      <c r="B91">
        <v>2</v>
      </c>
      <c r="D91" s="4">
        <v>87</v>
      </c>
    </row>
    <row r="92" spans="1:4" x14ac:dyDescent="0.25">
      <c r="A92" s="6" t="s">
        <v>1091</v>
      </c>
      <c r="B92">
        <v>1</v>
      </c>
      <c r="D92" s="4">
        <v>88</v>
      </c>
    </row>
    <row r="93" spans="1:4" x14ac:dyDescent="0.25">
      <c r="A93" s="6" t="s">
        <v>1092</v>
      </c>
      <c r="B93">
        <v>1</v>
      </c>
      <c r="D93" s="4">
        <v>89</v>
      </c>
    </row>
    <row r="94" spans="1:4" x14ac:dyDescent="0.25">
      <c r="A94" s="6" t="s">
        <v>1093</v>
      </c>
      <c r="B94">
        <v>1</v>
      </c>
      <c r="D94" s="4">
        <v>90</v>
      </c>
    </row>
    <row r="95" spans="1:4" x14ac:dyDescent="0.25">
      <c r="A95" s="6" t="s">
        <v>1094</v>
      </c>
      <c r="B95">
        <v>2</v>
      </c>
      <c r="D95" s="4">
        <v>91</v>
      </c>
    </row>
    <row r="96" spans="1:4" x14ac:dyDescent="0.25">
      <c r="A96" s="6" t="s">
        <v>1095</v>
      </c>
      <c r="B96">
        <v>2</v>
      </c>
      <c r="D96" s="4">
        <v>92</v>
      </c>
    </row>
    <row r="97" spans="1:4" x14ac:dyDescent="0.25">
      <c r="A97" s="6" t="s">
        <v>1096</v>
      </c>
      <c r="B97">
        <v>1</v>
      </c>
      <c r="D97" s="4">
        <v>93</v>
      </c>
    </row>
    <row r="98" spans="1:4" x14ac:dyDescent="0.25">
      <c r="A98" s="6" t="s">
        <v>1097</v>
      </c>
      <c r="B98">
        <v>1</v>
      </c>
      <c r="D98" s="4">
        <v>94</v>
      </c>
    </row>
    <row r="99" spans="1:4" x14ac:dyDescent="0.25">
      <c r="A99" s="6" t="s">
        <v>1098</v>
      </c>
      <c r="B99">
        <v>2</v>
      </c>
      <c r="D99" s="4">
        <v>95</v>
      </c>
    </row>
    <row r="100" spans="1:4" x14ac:dyDescent="0.25">
      <c r="A100" s="6" t="s">
        <v>1099</v>
      </c>
      <c r="B100">
        <v>2</v>
      </c>
      <c r="D100" s="4">
        <v>96</v>
      </c>
    </row>
    <row r="101" spans="1:4" x14ac:dyDescent="0.25">
      <c r="A101" s="6" t="s">
        <v>1100</v>
      </c>
      <c r="B101">
        <v>3</v>
      </c>
      <c r="D101" s="4">
        <v>97</v>
      </c>
    </row>
    <row r="102" spans="1:4" x14ac:dyDescent="0.25">
      <c r="A102" s="6" t="s">
        <v>1101</v>
      </c>
      <c r="B102">
        <v>1</v>
      </c>
      <c r="D102" s="4">
        <v>98</v>
      </c>
    </row>
    <row r="103" spans="1:4" x14ac:dyDescent="0.25">
      <c r="A103" s="6" t="s">
        <v>1102</v>
      </c>
      <c r="B103">
        <v>3</v>
      </c>
      <c r="D103" s="4">
        <v>99</v>
      </c>
    </row>
    <row r="104" spans="1:4" x14ac:dyDescent="0.25">
      <c r="A104" s="6" t="s">
        <v>1103</v>
      </c>
      <c r="B104">
        <v>2</v>
      </c>
      <c r="D104" s="4">
        <v>100</v>
      </c>
    </row>
    <row r="105" spans="1:4" x14ac:dyDescent="0.25">
      <c r="A105" s="6" t="s">
        <v>1104</v>
      </c>
      <c r="B105">
        <v>6</v>
      </c>
      <c r="D105" s="4">
        <v>101</v>
      </c>
    </row>
    <row r="106" spans="1:4" x14ac:dyDescent="0.25">
      <c r="A106" s="6" t="s">
        <v>1105</v>
      </c>
      <c r="B106">
        <v>2</v>
      </c>
      <c r="D106" s="4">
        <v>102</v>
      </c>
    </row>
    <row r="107" spans="1:4" x14ac:dyDescent="0.25">
      <c r="A107" s="6" t="s">
        <v>1106</v>
      </c>
      <c r="B107">
        <v>3</v>
      </c>
      <c r="D107" s="4">
        <v>103</v>
      </c>
    </row>
    <row r="108" spans="1:4" x14ac:dyDescent="0.25">
      <c r="A108" s="6" t="s">
        <v>1107</v>
      </c>
      <c r="B108">
        <v>4</v>
      </c>
      <c r="D108" s="4">
        <v>104</v>
      </c>
    </row>
    <row r="109" spans="1:4" x14ac:dyDescent="0.25">
      <c r="A109" s="6" t="s">
        <v>1108</v>
      </c>
      <c r="B109">
        <v>1</v>
      </c>
      <c r="D109" s="4">
        <v>105</v>
      </c>
    </row>
    <row r="110" spans="1:4" x14ac:dyDescent="0.25">
      <c r="A110" s="6" t="s">
        <v>1109</v>
      </c>
      <c r="B110">
        <v>1</v>
      </c>
      <c r="D110" s="4">
        <v>106</v>
      </c>
    </row>
    <row r="111" spans="1:4" x14ac:dyDescent="0.25">
      <c r="A111" s="6" t="s">
        <v>1110</v>
      </c>
      <c r="B111">
        <v>4</v>
      </c>
      <c r="D111" s="4">
        <v>107</v>
      </c>
    </row>
    <row r="112" spans="1:4" x14ac:dyDescent="0.25">
      <c r="A112" s="6" t="s">
        <v>1111</v>
      </c>
      <c r="B112">
        <v>1</v>
      </c>
      <c r="D112" s="4">
        <v>108</v>
      </c>
    </row>
    <row r="113" spans="1:4" x14ac:dyDescent="0.25">
      <c r="A113" s="6" t="s">
        <v>1112</v>
      </c>
      <c r="B113">
        <v>1</v>
      </c>
      <c r="D113" s="4">
        <v>109</v>
      </c>
    </row>
    <row r="114" spans="1:4" x14ac:dyDescent="0.25">
      <c r="A114" s="6" t="s">
        <v>1113</v>
      </c>
      <c r="B114">
        <v>3</v>
      </c>
      <c r="D114" s="4">
        <v>110</v>
      </c>
    </row>
    <row r="115" spans="1:4" x14ac:dyDescent="0.25">
      <c r="A115" s="6" t="s">
        <v>1114</v>
      </c>
      <c r="B115">
        <v>1</v>
      </c>
      <c r="D115" s="4">
        <v>111</v>
      </c>
    </row>
    <row r="116" spans="1:4" x14ac:dyDescent="0.25">
      <c r="A116" s="6" t="s">
        <v>1115</v>
      </c>
      <c r="B116">
        <v>4</v>
      </c>
      <c r="D116" s="4">
        <v>112</v>
      </c>
    </row>
    <row r="117" spans="1:4" x14ac:dyDescent="0.25">
      <c r="A117" s="6" t="s">
        <v>1116</v>
      </c>
      <c r="B117">
        <v>3</v>
      </c>
      <c r="D117" s="4">
        <v>113</v>
      </c>
    </row>
    <row r="118" spans="1:4" x14ac:dyDescent="0.25">
      <c r="A118" s="6" t="s">
        <v>1117</v>
      </c>
      <c r="B118">
        <v>1</v>
      </c>
      <c r="D118" s="4">
        <v>114</v>
      </c>
    </row>
    <row r="119" spans="1:4" x14ac:dyDescent="0.25">
      <c r="A119" s="6" t="s">
        <v>1118</v>
      </c>
      <c r="B119">
        <v>1</v>
      </c>
      <c r="D119" s="4">
        <v>115</v>
      </c>
    </row>
    <row r="120" spans="1:4" x14ac:dyDescent="0.25">
      <c r="A120" s="6" t="s">
        <v>1119</v>
      </c>
      <c r="B120">
        <v>2</v>
      </c>
      <c r="D120" s="4">
        <v>116</v>
      </c>
    </row>
    <row r="121" spans="1:4" x14ac:dyDescent="0.25">
      <c r="A121" s="6" t="s">
        <v>1120</v>
      </c>
      <c r="B121">
        <v>1</v>
      </c>
      <c r="D121" s="4">
        <v>117</v>
      </c>
    </row>
    <row r="122" spans="1:4" x14ac:dyDescent="0.25">
      <c r="A122" s="6" t="s">
        <v>1121</v>
      </c>
      <c r="B122">
        <v>1</v>
      </c>
      <c r="D122" s="4">
        <v>118</v>
      </c>
    </row>
    <row r="123" spans="1:4" x14ac:dyDescent="0.25">
      <c r="A123" s="6" t="s">
        <v>1122</v>
      </c>
      <c r="B123">
        <v>1</v>
      </c>
      <c r="D123" s="4">
        <v>119</v>
      </c>
    </row>
    <row r="124" spans="1:4" x14ac:dyDescent="0.25">
      <c r="A124" s="6" t="s">
        <v>1123</v>
      </c>
      <c r="B124">
        <v>4</v>
      </c>
      <c r="D124" s="4">
        <v>120</v>
      </c>
    </row>
    <row r="125" spans="1:4" x14ac:dyDescent="0.25">
      <c r="A125" s="6" t="s">
        <v>1124</v>
      </c>
      <c r="B125">
        <v>1</v>
      </c>
      <c r="D125" s="4">
        <v>121</v>
      </c>
    </row>
    <row r="126" spans="1:4" x14ac:dyDescent="0.25">
      <c r="A126" s="6" t="s">
        <v>1125</v>
      </c>
      <c r="B126">
        <v>3</v>
      </c>
      <c r="D126" s="4">
        <v>122</v>
      </c>
    </row>
    <row r="127" spans="1:4" x14ac:dyDescent="0.25">
      <c r="A127" s="6" t="s">
        <v>1126</v>
      </c>
      <c r="B127">
        <v>4</v>
      </c>
      <c r="D127" s="4">
        <v>123</v>
      </c>
    </row>
    <row r="128" spans="1:4" x14ac:dyDescent="0.25">
      <c r="A128" s="6" t="s">
        <v>1127</v>
      </c>
      <c r="B128">
        <v>2</v>
      </c>
      <c r="D128" s="4">
        <v>124</v>
      </c>
    </row>
    <row r="129" spans="1:4" x14ac:dyDescent="0.25">
      <c r="A129" s="6" t="s">
        <v>1128</v>
      </c>
      <c r="B129">
        <v>2</v>
      </c>
      <c r="D129" s="4">
        <v>125</v>
      </c>
    </row>
    <row r="130" spans="1:4" x14ac:dyDescent="0.25">
      <c r="A130" s="6" t="s">
        <v>1129</v>
      </c>
      <c r="B130">
        <v>2</v>
      </c>
      <c r="D130" s="4">
        <v>126</v>
      </c>
    </row>
    <row r="131" spans="1:4" x14ac:dyDescent="0.25">
      <c r="A131" s="6" t="s">
        <v>1130</v>
      </c>
      <c r="B131">
        <v>1</v>
      </c>
      <c r="D131" s="4">
        <v>127</v>
      </c>
    </row>
    <row r="132" spans="1:4" x14ac:dyDescent="0.25">
      <c r="A132" s="6" t="s">
        <v>1131</v>
      </c>
      <c r="B132">
        <v>1</v>
      </c>
      <c r="D132" s="4">
        <v>128</v>
      </c>
    </row>
    <row r="133" spans="1:4" x14ac:dyDescent="0.25">
      <c r="A133" s="6" t="s">
        <v>1132</v>
      </c>
      <c r="B133">
        <v>1</v>
      </c>
      <c r="D133" s="4">
        <v>129</v>
      </c>
    </row>
    <row r="134" spans="1:4" x14ac:dyDescent="0.25">
      <c r="A134" s="6" t="s">
        <v>1133</v>
      </c>
      <c r="B134">
        <v>1</v>
      </c>
      <c r="D134" s="4">
        <v>130</v>
      </c>
    </row>
    <row r="135" spans="1:4" x14ac:dyDescent="0.25">
      <c r="A135" s="6" t="s">
        <v>1134</v>
      </c>
      <c r="B135">
        <v>1</v>
      </c>
      <c r="D135" s="4">
        <v>131</v>
      </c>
    </row>
    <row r="136" spans="1:4" x14ac:dyDescent="0.25">
      <c r="A136" s="6" t="s">
        <v>1135</v>
      </c>
      <c r="B136">
        <v>1</v>
      </c>
      <c r="D136" s="4">
        <v>132</v>
      </c>
    </row>
    <row r="137" spans="1:4" x14ac:dyDescent="0.25">
      <c r="A137" s="6" t="s">
        <v>1136</v>
      </c>
      <c r="B137">
        <v>1</v>
      </c>
      <c r="D137" s="4">
        <v>133</v>
      </c>
    </row>
    <row r="138" spans="1:4" x14ac:dyDescent="0.25">
      <c r="A138" s="6" t="s">
        <v>1137</v>
      </c>
      <c r="B138">
        <v>3</v>
      </c>
      <c r="D138" s="4">
        <v>134</v>
      </c>
    </row>
    <row r="139" spans="1:4" x14ac:dyDescent="0.25">
      <c r="A139" s="6" t="s">
        <v>1138</v>
      </c>
      <c r="B139">
        <v>3</v>
      </c>
      <c r="D139" s="4">
        <v>135</v>
      </c>
    </row>
    <row r="140" spans="1:4" x14ac:dyDescent="0.25">
      <c r="A140" s="6" t="s">
        <v>1139</v>
      </c>
      <c r="B140">
        <v>1</v>
      </c>
      <c r="D140" s="4">
        <v>136</v>
      </c>
    </row>
    <row r="141" spans="1:4" x14ac:dyDescent="0.25">
      <c r="A141" s="6" t="s">
        <v>1140</v>
      </c>
      <c r="B141">
        <v>2</v>
      </c>
      <c r="D141" s="4">
        <v>137</v>
      </c>
    </row>
    <row r="142" spans="1:4" x14ac:dyDescent="0.25">
      <c r="A142" s="6" t="s">
        <v>1141</v>
      </c>
      <c r="B142">
        <v>3</v>
      </c>
      <c r="D142" s="4">
        <v>138</v>
      </c>
    </row>
    <row r="143" spans="1:4" x14ac:dyDescent="0.25">
      <c r="A143" s="6" t="s">
        <v>1142</v>
      </c>
      <c r="B143">
        <v>5</v>
      </c>
      <c r="D143" s="4">
        <v>139</v>
      </c>
    </row>
    <row r="144" spans="1:4" x14ac:dyDescent="0.25">
      <c r="A144" s="6" t="s">
        <v>1143</v>
      </c>
      <c r="B144">
        <v>3</v>
      </c>
      <c r="D144" s="4">
        <v>140</v>
      </c>
    </row>
    <row r="145" spans="1:4" x14ac:dyDescent="0.25">
      <c r="A145" s="6" t="s">
        <v>1144</v>
      </c>
      <c r="B145">
        <v>2</v>
      </c>
      <c r="D145" s="4">
        <v>141</v>
      </c>
    </row>
    <row r="146" spans="1:4" x14ac:dyDescent="0.25">
      <c r="A146" s="6" t="s">
        <v>1145</v>
      </c>
      <c r="B146">
        <v>1</v>
      </c>
      <c r="D146" s="4">
        <v>142</v>
      </c>
    </row>
    <row r="147" spans="1:4" x14ac:dyDescent="0.25">
      <c r="A147" s="6" t="s">
        <v>1146</v>
      </c>
      <c r="B147">
        <v>1</v>
      </c>
      <c r="D147" s="4">
        <v>143</v>
      </c>
    </row>
    <row r="148" spans="1:4" x14ac:dyDescent="0.25">
      <c r="A148" s="6" t="s">
        <v>1147</v>
      </c>
      <c r="B148">
        <v>1</v>
      </c>
      <c r="D148" s="4">
        <v>144</v>
      </c>
    </row>
    <row r="149" spans="1:4" x14ac:dyDescent="0.25">
      <c r="A149" s="6" t="s">
        <v>1148</v>
      </c>
      <c r="B149">
        <v>1</v>
      </c>
      <c r="D149" s="4">
        <v>145</v>
      </c>
    </row>
    <row r="150" spans="1:4" x14ac:dyDescent="0.25">
      <c r="A150" s="6" t="s">
        <v>1149</v>
      </c>
      <c r="B150">
        <v>1</v>
      </c>
      <c r="D150" s="4">
        <v>146</v>
      </c>
    </row>
    <row r="151" spans="1:4" x14ac:dyDescent="0.25">
      <c r="A151" s="6" t="s">
        <v>1150</v>
      </c>
      <c r="B151">
        <v>1</v>
      </c>
      <c r="D151" s="4">
        <v>147</v>
      </c>
    </row>
    <row r="152" spans="1:4" x14ac:dyDescent="0.25">
      <c r="A152" s="6" t="s">
        <v>1151</v>
      </c>
      <c r="B152">
        <v>1</v>
      </c>
      <c r="D152" s="4">
        <v>148</v>
      </c>
    </row>
    <row r="153" spans="1:4" x14ac:dyDescent="0.25">
      <c r="A153" s="6" t="s">
        <v>1152</v>
      </c>
      <c r="B153">
        <v>2</v>
      </c>
      <c r="D153" s="4">
        <v>149</v>
      </c>
    </row>
    <row r="154" spans="1:4" x14ac:dyDescent="0.25">
      <c r="A154" s="6" t="s">
        <v>1153</v>
      </c>
      <c r="B154">
        <v>2</v>
      </c>
      <c r="D154" s="4">
        <v>150</v>
      </c>
    </row>
    <row r="155" spans="1:4" x14ac:dyDescent="0.25">
      <c r="A155" s="6" t="s">
        <v>1154</v>
      </c>
      <c r="B155">
        <v>2</v>
      </c>
      <c r="D155" s="4">
        <v>151</v>
      </c>
    </row>
    <row r="156" spans="1:4" x14ac:dyDescent="0.25">
      <c r="A156" s="6" t="s">
        <v>1155</v>
      </c>
      <c r="B156">
        <v>2</v>
      </c>
      <c r="D156" s="4">
        <v>152</v>
      </c>
    </row>
    <row r="157" spans="1:4" x14ac:dyDescent="0.25">
      <c r="A157" s="6" t="s">
        <v>1156</v>
      </c>
      <c r="B157">
        <v>1</v>
      </c>
      <c r="D157" s="4">
        <v>153</v>
      </c>
    </row>
    <row r="158" spans="1:4" x14ac:dyDescent="0.25">
      <c r="A158" s="6" t="s">
        <v>1157</v>
      </c>
      <c r="B158">
        <v>1</v>
      </c>
      <c r="D158" s="4">
        <v>154</v>
      </c>
    </row>
    <row r="159" spans="1:4" x14ac:dyDescent="0.25">
      <c r="A159" s="6" t="s">
        <v>1158</v>
      </c>
      <c r="B159">
        <v>4</v>
      </c>
      <c r="D159" s="4">
        <v>155</v>
      </c>
    </row>
    <row r="160" spans="1:4" x14ac:dyDescent="0.25">
      <c r="A160" s="6" t="s">
        <v>1159</v>
      </c>
      <c r="B160">
        <v>1</v>
      </c>
      <c r="D160" s="4">
        <v>156</v>
      </c>
    </row>
    <row r="161" spans="1:2" x14ac:dyDescent="0.25">
      <c r="A161" s="6" t="s">
        <v>996</v>
      </c>
      <c r="B161">
        <v>298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A1E3-7F4B-427F-88E7-A2461E069FD8}">
  <sheetPr codeName="Foglio8"/>
  <dimension ref="A1:A20"/>
  <sheetViews>
    <sheetView workbookViewId="0">
      <selection activeCell="A20" sqref="A20"/>
    </sheetView>
  </sheetViews>
  <sheetFormatPr defaultRowHeight="15" x14ac:dyDescent="0.25"/>
  <cols>
    <col min="1" max="1" width="43.5703125" bestFit="1" customWidth="1"/>
  </cols>
  <sheetData>
    <row r="1" spans="1:1" x14ac:dyDescent="0.25">
      <c r="A1" s="11" t="s">
        <v>1007</v>
      </c>
    </row>
    <row r="2" spans="1:1" x14ac:dyDescent="0.25">
      <c r="A2" s="16" t="s">
        <v>1009</v>
      </c>
    </row>
    <row r="3" spans="1:1" x14ac:dyDescent="0.25">
      <c r="A3" s="15" t="s">
        <v>1021</v>
      </c>
    </row>
    <row r="4" spans="1:1" x14ac:dyDescent="0.25">
      <c r="A4" s="18" t="s">
        <v>1025</v>
      </c>
    </row>
    <row r="5" spans="1:1" x14ac:dyDescent="0.25">
      <c r="A5" s="15" t="s">
        <v>1035</v>
      </c>
    </row>
    <row r="6" spans="1:1" x14ac:dyDescent="0.25">
      <c r="A6" s="18" t="s">
        <v>1037</v>
      </c>
    </row>
    <row r="7" spans="1:1" x14ac:dyDescent="0.25">
      <c r="A7" s="15" t="s">
        <v>1070</v>
      </c>
    </row>
    <row r="8" spans="1:1" x14ac:dyDescent="0.25">
      <c r="A8" s="15" t="s">
        <v>1077</v>
      </c>
    </row>
    <row r="9" spans="1:1" x14ac:dyDescent="0.25">
      <c r="A9" s="11" t="s">
        <v>1078</v>
      </c>
    </row>
    <row r="10" spans="1:1" x14ac:dyDescent="0.25">
      <c r="A10" s="15" t="s">
        <v>1086</v>
      </c>
    </row>
    <row r="11" spans="1:1" x14ac:dyDescent="0.25">
      <c r="A11" s="15" t="s">
        <v>1093</v>
      </c>
    </row>
    <row r="12" spans="1:1" x14ac:dyDescent="0.25">
      <c r="A12" s="15" t="s">
        <v>1119</v>
      </c>
    </row>
    <row r="13" spans="1:1" x14ac:dyDescent="0.25">
      <c r="A13" s="15" t="s">
        <v>1122</v>
      </c>
    </row>
    <row r="14" spans="1:1" x14ac:dyDescent="0.25">
      <c r="A14" s="15" t="s">
        <v>1130</v>
      </c>
    </row>
    <row r="15" spans="1:1" x14ac:dyDescent="0.25">
      <c r="A15" s="15" t="s">
        <v>1134</v>
      </c>
    </row>
    <row r="16" spans="1:1" x14ac:dyDescent="0.25">
      <c r="A16" s="15" t="s">
        <v>1147</v>
      </c>
    </row>
    <row r="17" spans="1:1" x14ac:dyDescent="0.25">
      <c r="A17" s="15" t="s">
        <v>1148</v>
      </c>
    </row>
    <row r="18" spans="1:1" x14ac:dyDescent="0.25">
      <c r="A18" s="15" t="s">
        <v>1149</v>
      </c>
    </row>
    <row r="19" spans="1:1" x14ac:dyDescent="0.25">
      <c r="A19" s="15" t="s">
        <v>1150</v>
      </c>
    </row>
    <row r="20" spans="1:1" x14ac:dyDescent="0.25">
      <c r="A20" s="11" t="s">
        <v>1157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8</vt:i4>
      </vt:variant>
      <vt:variant>
        <vt:lpstr>Intervalli denominati</vt:lpstr>
      </vt:variant>
      <vt:variant>
        <vt:i4>2</vt:i4>
      </vt:variant>
    </vt:vector>
  </HeadingPairs>
  <TitlesOfParts>
    <vt:vector size="10" baseType="lpstr">
      <vt:lpstr>Dati</vt:lpstr>
      <vt:lpstr>Conteggi</vt:lpstr>
      <vt:lpstr>Distribuzione regioni</vt:lpstr>
      <vt:lpstr>Distribuzione paesi</vt:lpstr>
      <vt:lpstr>Foglio1</vt:lpstr>
      <vt:lpstr>Distribuzione anni</vt:lpstr>
      <vt:lpstr>Specie</vt:lpstr>
      <vt:lpstr>Specie dubbie DATI</vt:lpstr>
      <vt:lpstr>Intestazioni</vt:lpstr>
      <vt:lpstr>Dati!Titoli_stampa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Chimenti</dc:creator>
  <cp:lastModifiedBy>Claudio Chimenti</cp:lastModifiedBy>
  <cp:lastPrinted>2026-01-19T10:51:43Z</cp:lastPrinted>
  <dcterms:created xsi:type="dcterms:W3CDTF">2026-01-11T18:35:54Z</dcterms:created>
  <dcterms:modified xsi:type="dcterms:W3CDTF">2026-10-14T13:32:44Z</dcterms:modified>
</cp:coreProperties>
</file>